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igatto\Documents\GitHub\InflowForecastBias_Data\"/>
    </mc:Choice>
  </mc:AlternateContent>
  <xr:revisionPtr revIDLastSave="0" documentId="13_ncr:1_{D7138B57-0FC2-423F-830F-DC0FFC0CDB1A}" xr6:coauthVersionLast="36" xr6:coauthVersionMax="47" xr10:uidLastSave="{00000000-0000-0000-0000-000000000000}"/>
  <bookViews>
    <workbookView xWindow="28680" yWindow="-120" windowWidth="29040" windowHeight="15990" tabRatio="973" activeTab="3" xr2:uid="{00000000-000D-0000-FFFF-FFFF00000000}"/>
  </bookViews>
  <sheets>
    <sheet name="bias_BenchmarkModels_mean" sheetId="43" r:id="rId1"/>
    <sheet name="bias_BenchmarkModels_median" sheetId="48" r:id="rId2"/>
    <sheet name="MAE_BenchmarkModels" sheetId="46" r:id="rId3"/>
    <sheet name="CRPS_BenchmarkModels" sheetId="47" r:id="rId4"/>
  </sheets>
  <calcPr calcId="191029"/>
</workbook>
</file>

<file path=xl/calcChain.xml><?xml version="1.0" encoding="utf-8"?>
<calcChain xmlns="http://schemas.openxmlformats.org/spreadsheetml/2006/main">
  <c r="R76" i="48" l="1"/>
  <c r="H76" i="48"/>
  <c r="R75" i="48"/>
  <c r="H75" i="48"/>
  <c r="R74" i="48"/>
  <c r="H74" i="48"/>
  <c r="R73" i="48"/>
  <c r="H73" i="48"/>
  <c r="R72" i="48"/>
  <c r="H72" i="48"/>
  <c r="R71" i="48"/>
  <c r="H71" i="48"/>
  <c r="R70" i="48"/>
  <c r="H70" i="48"/>
  <c r="R69" i="48"/>
  <c r="N69" i="48"/>
  <c r="H69" i="48"/>
  <c r="R68" i="48"/>
  <c r="H68" i="48"/>
  <c r="R67" i="48"/>
  <c r="H67" i="48"/>
  <c r="G67" i="48"/>
  <c r="F67" i="48"/>
  <c r="R66" i="48"/>
  <c r="H66" i="48"/>
  <c r="R65" i="48"/>
  <c r="H65" i="48"/>
  <c r="R64" i="48"/>
  <c r="H64" i="48"/>
  <c r="R63" i="48"/>
  <c r="H63" i="48"/>
  <c r="R62" i="48"/>
  <c r="H62" i="48"/>
  <c r="R61" i="48"/>
  <c r="H61" i="48"/>
  <c r="G61" i="48"/>
  <c r="F61" i="48"/>
  <c r="E61" i="48"/>
  <c r="D61" i="48"/>
  <c r="S59" i="48"/>
  <c r="S76" i="48" s="1"/>
  <c r="Q59" i="48"/>
  <c r="Q76" i="48" s="1"/>
  <c r="P59" i="48"/>
  <c r="P76" i="48" s="1"/>
  <c r="O59" i="48"/>
  <c r="O76" i="48" s="1"/>
  <c r="N59" i="48"/>
  <c r="N76" i="48" s="1"/>
  <c r="I59" i="48"/>
  <c r="I76" i="48" s="1"/>
  <c r="G59" i="48"/>
  <c r="G76" i="48" s="1"/>
  <c r="F59" i="48"/>
  <c r="F76" i="48" s="1"/>
  <c r="E59" i="48"/>
  <c r="E76" i="48" s="1"/>
  <c r="D59" i="48"/>
  <c r="D76" i="48" s="1"/>
  <c r="S58" i="48"/>
  <c r="S75" i="48" s="1"/>
  <c r="Q58" i="48"/>
  <c r="Q75" i="48" s="1"/>
  <c r="P58" i="48"/>
  <c r="P75" i="48" s="1"/>
  <c r="O58" i="48"/>
  <c r="O75" i="48" s="1"/>
  <c r="N58" i="48"/>
  <c r="N75" i="48" s="1"/>
  <c r="I58" i="48"/>
  <c r="I75" i="48" s="1"/>
  <c r="G58" i="48"/>
  <c r="G75" i="48" s="1"/>
  <c r="F58" i="48"/>
  <c r="F75" i="48" s="1"/>
  <c r="E58" i="48"/>
  <c r="E75" i="48" s="1"/>
  <c r="D58" i="48"/>
  <c r="D75" i="48" s="1"/>
  <c r="S57" i="48"/>
  <c r="S74" i="48" s="1"/>
  <c r="Q57" i="48"/>
  <c r="Q74" i="48" s="1"/>
  <c r="P57" i="48"/>
  <c r="P74" i="48" s="1"/>
  <c r="O57" i="48"/>
  <c r="O74" i="48" s="1"/>
  <c r="N57" i="48"/>
  <c r="N74" i="48" s="1"/>
  <c r="I57" i="48"/>
  <c r="I74" i="48" s="1"/>
  <c r="G57" i="48"/>
  <c r="G74" i="48" s="1"/>
  <c r="F57" i="48"/>
  <c r="F74" i="48" s="1"/>
  <c r="E57" i="48"/>
  <c r="E74" i="48" s="1"/>
  <c r="D57" i="48"/>
  <c r="D74" i="48" s="1"/>
  <c r="S56" i="48"/>
  <c r="S73" i="48" s="1"/>
  <c r="Q56" i="48"/>
  <c r="Q73" i="48" s="1"/>
  <c r="P56" i="48"/>
  <c r="P73" i="48" s="1"/>
  <c r="O56" i="48"/>
  <c r="O73" i="48" s="1"/>
  <c r="N56" i="48"/>
  <c r="N73" i="48" s="1"/>
  <c r="I56" i="48"/>
  <c r="I73" i="48" s="1"/>
  <c r="G56" i="48"/>
  <c r="G73" i="48" s="1"/>
  <c r="F56" i="48"/>
  <c r="F73" i="48" s="1"/>
  <c r="E56" i="48"/>
  <c r="E73" i="48" s="1"/>
  <c r="D56" i="48"/>
  <c r="D73" i="48" s="1"/>
  <c r="S55" i="48"/>
  <c r="S72" i="48" s="1"/>
  <c r="Q55" i="48"/>
  <c r="Q72" i="48" s="1"/>
  <c r="P55" i="48"/>
  <c r="P72" i="48" s="1"/>
  <c r="O55" i="48"/>
  <c r="O72" i="48" s="1"/>
  <c r="N55" i="48"/>
  <c r="N72" i="48" s="1"/>
  <c r="I55" i="48"/>
  <c r="I72" i="48" s="1"/>
  <c r="G55" i="48"/>
  <c r="G72" i="48" s="1"/>
  <c r="F55" i="48"/>
  <c r="F72" i="48" s="1"/>
  <c r="E55" i="48"/>
  <c r="E72" i="48" s="1"/>
  <c r="D55" i="48"/>
  <c r="D72" i="48" s="1"/>
  <c r="S54" i="48"/>
  <c r="S71" i="48" s="1"/>
  <c r="Q54" i="48"/>
  <c r="Q71" i="48" s="1"/>
  <c r="P54" i="48"/>
  <c r="P71" i="48" s="1"/>
  <c r="O54" i="48"/>
  <c r="O71" i="48" s="1"/>
  <c r="N54" i="48"/>
  <c r="N71" i="48" s="1"/>
  <c r="I54" i="48"/>
  <c r="I71" i="48" s="1"/>
  <c r="G54" i="48"/>
  <c r="G71" i="48" s="1"/>
  <c r="F54" i="48"/>
  <c r="F71" i="48" s="1"/>
  <c r="E54" i="48"/>
  <c r="E71" i="48" s="1"/>
  <c r="D54" i="48"/>
  <c r="D71" i="48" s="1"/>
  <c r="S53" i="48"/>
  <c r="S70" i="48" s="1"/>
  <c r="Q53" i="48"/>
  <c r="Q70" i="48" s="1"/>
  <c r="P53" i="48"/>
  <c r="P70" i="48" s="1"/>
  <c r="O53" i="48"/>
  <c r="O70" i="48" s="1"/>
  <c r="N53" i="48"/>
  <c r="N70" i="48" s="1"/>
  <c r="I53" i="48"/>
  <c r="I70" i="48" s="1"/>
  <c r="G53" i="48"/>
  <c r="G70" i="48" s="1"/>
  <c r="F53" i="48"/>
  <c r="F70" i="48" s="1"/>
  <c r="E53" i="48"/>
  <c r="E70" i="48" s="1"/>
  <c r="D53" i="48"/>
  <c r="D70" i="48" s="1"/>
  <c r="S52" i="48"/>
  <c r="S69" i="48" s="1"/>
  <c r="Q52" i="48"/>
  <c r="Q69" i="48" s="1"/>
  <c r="P52" i="48"/>
  <c r="P69" i="48" s="1"/>
  <c r="O52" i="48"/>
  <c r="O69" i="48" s="1"/>
  <c r="N52" i="48"/>
  <c r="I52" i="48"/>
  <c r="I69" i="48" s="1"/>
  <c r="G52" i="48"/>
  <c r="G69" i="48" s="1"/>
  <c r="F52" i="48"/>
  <c r="F69" i="48" s="1"/>
  <c r="E52" i="48"/>
  <c r="E69" i="48" s="1"/>
  <c r="D52" i="48"/>
  <c r="D69" i="48" s="1"/>
  <c r="S51" i="48"/>
  <c r="S68" i="48" s="1"/>
  <c r="Q51" i="48"/>
  <c r="Q68" i="48" s="1"/>
  <c r="P51" i="48"/>
  <c r="P68" i="48" s="1"/>
  <c r="O51" i="48"/>
  <c r="O68" i="48" s="1"/>
  <c r="N51" i="48"/>
  <c r="N68" i="48" s="1"/>
  <c r="I51" i="48"/>
  <c r="I68" i="48" s="1"/>
  <c r="G51" i="48"/>
  <c r="G68" i="48" s="1"/>
  <c r="F51" i="48"/>
  <c r="F68" i="48" s="1"/>
  <c r="E51" i="48"/>
  <c r="E68" i="48" s="1"/>
  <c r="D51" i="48"/>
  <c r="D68" i="48" s="1"/>
  <c r="S50" i="48"/>
  <c r="S67" i="48" s="1"/>
  <c r="Q50" i="48"/>
  <c r="Q67" i="48" s="1"/>
  <c r="P50" i="48"/>
  <c r="P67" i="48" s="1"/>
  <c r="O50" i="48"/>
  <c r="O67" i="48" s="1"/>
  <c r="N50" i="48"/>
  <c r="N67" i="48" s="1"/>
  <c r="I50" i="48"/>
  <c r="I67" i="48" s="1"/>
  <c r="G50" i="48"/>
  <c r="F50" i="48"/>
  <c r="E50" i="48"/>
  <c r="E67" i="48" s="1"/>
  <c r="D50" i="48"/>
  <c r="D67" i="48" s="1"/>
  <c r="S49" i="48"/>
  <c r="S66" i="48" s="1"/>
  <c r="Q49" i="48"/>
  <c r="Q66" i="48" s="1"/>
  <c r="P49" i="48"/>
  <c r="P66" i="48" s="1"/>
  <c r="O49" i="48"/>
  <c r="O66" i="48" s="1"/>
  <c r="N49" i="48"/>
  <c r="N66" i="48" s="1"/>
  <c r="I49" i="48"/>
  <c r="I66" i="48" s="1"/>
  <c r="G49" i="48"/>
  <c r="G66" i="48" s="1"/>
  <c r="F49" i="48"/>
  <c r="F66" i="48" s="1"/>
  <c r="E49" i="48"/>
  <c r="E66" i="48" s="1"/>
  <c r="D49" i="48"/>
  <c r="D66" i="48" s="1"/>
  <c r="S48" i="48"/>
  <c r="S65" i="48" s="1"/>
  <c r="Q48" i="48"/>
  <c r="Q65" i="48" s="1"/>
  <c r="P48" i="48"/>
  <c r="P65" i="48" s="1"/>
  <c r="O48" i="48"/>
  <c r="O65" i="48" s="1"/>
  <c r="N48" i="48"/>
  <c r="N65" i="48" s="1"/>
  <c r="I48" i="48"/>
  <c r="I65" i="48" s="1"/>
  <c r="G48" i="48"/>
  <c r="G65" i="48" s="1"/>
  <c r="F48" i="48"/>
  <c r="F65" i="48" s="1"/>
  <c r="E48" i="48"/>
  <c r="E65" i="48" s="1"/>
  <c r="D48" i="48"/>
  <c r="D65" i="48" s="1"/>
  <c r="S47" i="48"/>
  <c r="S64" i="48" s="1"/>
  <c r="Q47" i="48"/>
  <c r="Q64" i="48" s="1"/>
  <c r="P47" i="48"/>
  <c r="P64" i="48" s="1"/>
  <c r="O47" i="48"/>
  <c r="O64" i="48" s="1"/>
  <c r="N47" i="48"/>
  <c r="N64" i="48" s="1"/>
  <c r="I47" i="48"/>
  <c r="I64" i="48" s="1"/>
  <c r="G47" i="48"/>
  <c r="G64" i="48" s="1"/>
  <c r="F47" i="48"/>
  <c r="F64" i="48" s="1"/>
  <c r="E47" i="48"/>
  <c r="E64" i="48" s="1"/>
  <c r="D47" i="48"/>
  <c r="D64" i="48" s="1"/>
  <c r="S46" i="48"/>
  <c r="S63" i="48" s="1"/>
  <c r="Q46" i="48"/>
  <c r="Q63" i="48" s="1"/>
  <c r="P46" i="48"/>
  <c r="P63" i="48" s="1"/>
  <c r="O46" i="48"/>
  <c r="O63" i="48" s="1"/>
  <c r="N46" i="48"/>
  <c r="N63" i="48" s="1"/>
  <c r="I46" i="48"/>
  <c r="I63" i="48" s="1"/>
  <c r="G46" i="48"/>
  <c r="G63" i="48" s="1"/>
  <c r="F46" i="48"/>
  <c r="F63" i="48" s="1"/>
  <c r="E46" i="48"/>
  <c r="E63" i="48" s="1"/>
  <c r="D46" i="48"/>
  <c r="D63" i="48" s="1"/>
  <c r="S45" i="48"/>
  <c r="S62" i="48" s="1"/>
  <c r="Q45" i="48"/>
  <c r="Q62" i="48" s="1"/>
  <c r="P45" i="48"/>
  <c r="P62" i="48" s="1"/>
  <c r="O45" i="48"/>
  <c r="O62" i="48" s="1"/>
  <c r="N45" i="48"/>
  <c r="N62" i="48" s="1"/>
  <c r="I45" i="48"/>
  <c r="I62" i="48" s="1"/>
  <c r="G45" i="48"/>
  <c r="G62" i="48" s="1"/>
  <c r="F45" i="48"/>
  <c r="F62" i="48" s="1"/>
  <c r="E45" i="48"/>
  <c r="E62" i="48" s="1"/>
  <c r="D45" i="48"/>
  <c r="D62" i="48" s="1"/>
  <c r="Q44" i="48"/>
  <c r="Q61" i="48" s="1"/>
  <c r="P44" i="48"/>
  <c r="P61" i="48" s="1"/>
  <c r="O44" i="48"/>
  <c r="O61" i="48" s="1"/>
  <c r="N44" i="48"/>
  <c r="N61" i="48" s="1"/>
  <c r="G44" i="48"/>
  <c r="F44" i="48"/>
  <c r="E44" i="48"/>
  <c r="D44" i="48"/>
  <c r="R76" i="47" l="1"/>
  <c r="H76" i="47"/>
  <c r="R75" i="47"/>
  <c r="H75" i="47"/>
  <c r="R74" i="47"/>
  <c r="H74" i="47"/>
  <c r="R73" i="47"/>
  <c r="H73" i="47"/>
  <c r="R72" i="47"/>
  <c r="H72" i="47"/>
  <c r="R71" i="47"/>
  <c r="H71" i="47"/>
  <c r="R70" i="47"/>
  <c r="H70" i="47"/>
  <c r="R69" i="47"/>
  <c r="H69" i="47"/>
  <c r="R68" i="47"/>
  <c r="H68" i="47"/>
  <c r="R67" i="47"/>
  <c r="H67" i="47"/>
  <c r="R66" i="47"/>
  <c r="H66" i="47"/>
  <c r="R65" i="47"/>
  <c r="H65" i="47"/>
  <c r="R64" i="47"/>
  <c r="H64" i="47"/>
  <c r="R63" i="47"/>
  <c r="H63" i="47"/>
  <c r="R62" i="47"/>
  <c r="H62" i="47"/>
  <c r="R61" i="47"/>
  <c r="H61" i="47"/>
  <c r="R76" i="46"/>
  <c r="H76" i="46"/>
  <c r="R75" i="46"/>
  <c r="H75" i="46"/>
  <c r="R74" i="46"/>
  <c r="H74" i="46"/>
  <c r="R73" i="46"/>
  <c r="H73" i="46"/>
  <c r="R72" i="46"/>
  <c r="H72" i="46"/>
  <c r="R71" i="46"/>
  <c r="H71" i="46"/>
  <c r="R70" i="46"/>
  <c r="H70" i="46"/>
  <c r="R69" i="46"/>
  <c r="H69" i="46"/>
  <c r="R68" i="46"/>
  <c r="H68" i="46"/>
  <c r="R67" i="46"/>
  <c r="H67" i="46"/>
  <c r="R66" i="46"/>
  <c r="H66" i="46"/>
  <c r="R65" i="46"/>
  <c r="H65" i="46"/>
  <c r="R64" i="46"/>
  <c r="H64" i="46"/>
  <c r="R63" i="46"/>
  <c r="H63" i="46"/>
  <c r="R62" i="46"/>
  <c r="H62" i="46"/>
  <c r="R61" i="46"/>
  <c r="H61" i="46"/>
  <c r="R76" i="43"/>
  <c r="R75" i="43"/>
  <c r="R74" i="43"/>
  <c r="R73" i="43"/>
  <c r="R72" i="43"/>
  <c r="R71" i="43"/>
  <c r="R70" i="43"/>
  <c r="R69" i="43"/>
  <c r="R68" i="43"/>
  <c r="R67" i="43"/>
  <c r="R66" i="43"/>
  <c r="R65" i="43"/>
  <c r="R64" i="43"/>
  <c r="R63" i="43"/>
  <c r="R62" i="43"/>
  <c r="R61" i="43"/>
  <c r="H76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61" i="43"/>
  <c r="Q59" i="47" l="1"/>
  <c r="Q76" i="47" s="1"/>
  <c r="P59" i="47"/>
  <c r="P76" i="47" s="1"/>
  <c r="O59" i="47"/>
  <c r="O76" i="47" s="1"/>
  <c r="N59" i="47"/>
  <c r="N76" i="47" s="1"/>
  <c r="Q59" i="46"/>
  <c r="Q76" i="46" s="1"/>
  <c r="P59" i="46"/>
  <c r="P76" i="46" s="1"/>
  <c r="O59" i="46"/>
  <c r="O76" i="46" s="1"/>
  <c r="N59" i="46"/>
  <c r="N76" i="46" s="1"/>
  <c r="G59" i="47"/>
  <c r="G76" i="47" s="1"/>
  <c r="F59" i="47"/>
  <c r="F76" i="47" s="1"/>
  <c r="E59" i="47"/>
  <c r="E76" i="47" s="1"/>
  <c r="D59" i="47"/>
  <c r="D76" i="47" s="1"/>
  <c r="G59" i="46"/>
  <c r="G76" i="46" s="1"/>
  <c r="F59" i="46"/>
  <c r="F76" i="46" s="1"/>
  <c r="E59" i="46"/>
  <c r="E76" i="46" s="1"/>
  <c r="D59" i="46"/>
  <c r="D76" i="46" s="1"/>
  <c r="S59" i="47"/>
  <c r="S76" i="47" s="1"/>
  <c r="S59" i="46"/>
  <c r="S76" i="46" s="1"/>
  <c r="I59" i="47"/>
  <c r="I76" i="47" s="1"/>
  <c r="I59" i="46"/>
  <c r="I76" i="46" s="1"/>
  <c r="S59" i="43"/>
  <c r="S76" i="43" s="1"/>
  <c r="I59" i="43"/>
  <c r="I76" i="43" s="1"/>
  <c r="N59" i="43"/>
  <c r="N76" i="43" s="1"/>
  <c r="O59" i="43"/>
  <c r="O76" i="43" s="1"/>
  <c r="P59" i="43"/>
  <c r="P76" i="43" s="1"/>
  <c r="Q59" i="43"/>
  <c r="Q76" i="43" s="1"/>
  <c r="G59" i="43"/>
  <c r="G76" i="43" s="1"/>
  <c r="F59" i="43"/>
  <c r="F76" i="43" s="1"/>
  <c r="E59" i="43"/>
  <c r="E76" i="43" s="1"/>
  <c r="D59" i="43"/>
  <c r="D76" i="43" s="1"/>
  <c r="S58" i="47" l="1"/>
  <c r="S75" i="47" s="1"/>
  <c r="Q58" i="47"/>
  <c r="Q75" i="47" s="1"/>
  <c r="P58" i="47"/>
  <c r="P75" i="47" s="1"/>
  <c r="O58" i="47"/>
  <c r="O75" i="47" s="1"/>
  <c r="N58" i="47"/>
  <c r="N75" i="47" s="1"/>
  <c r="I58" i="47"/>
  <c r="I75" i="47" s="1"/>
  <c r="G58" i="47"/>
  <c r="G75" i="47" s="1"/>
  <c r="F58" i="47"/>
  <c r="F75" i="47" s="1"/>
  <c r="E58" i="47"/>
  <c r="E75" i="47" s="1"/>
  <c r="D58" i="47"/>
  <c r="D75" i="47" s="1"/>
  <c r="S57" i="47"/>
  <c r="S74" i="47" s="1"/>
  <c r="Q57" i="47"/>
  <c r="Q74" i="47" s="1"/>
  <c r="P57" i="47"/>
  <c r="P74" i="47" s="1"/>
  <c r="O57" i="47"/>
  <c r="O74" i="47" s="1"/>
  <c r="N57" i="47"/>
  <c r="N74" i="47" s="1"/>
  <c r="I57" i="47"/>
  <c r="I74" i="47" s="1"/>
  <c r="G57" i="47"/>
  <c r="G74" i="47" s="1"/>
  <c r="F57" i="47"/>
  <c r="F74" i="47" s="1"/>
  <c r="E57" i="47"/>
  <c r="E74" i="47" s="1"/>
  <c r="D57" i="47"/>
  <c r="D74" i="47" s="1"/>
  <c r="S56" i="47"/>
  <c r="S73" i="47" s="1"/>
  <c r="Q56" i="47"/>
  <c r="Q73" i="47" s="1"/>
  <c r="P56" i="47"/>
  <c r="P73" i="47" s="1"/>
  <c r="O56" i="47"/>
  <c r="O73" i="47" s="1"/>
  <c r="N56" i="47"/>
  <c r="N73" i="47" s="1"/>
  <c r="I56" i="47"/>
  <c r="I73" i="47" s="1"/>
  <c r="G56" i="47"/>
  <c r="G73" i="47" s="1"/>
  <c r="F56" i="47"/>
  <c r="F73" i="47" s="1"/>
  <c r="E56" i="47"/>
  <c r="E73" i="47" s="1"/>
  <c r="D56" i="47"/>
  <c r="D73" i="47" s="1"/>
  <c r="S55" i="47"/>
  <c r="S72" i="47" s="1"/>
  <c r="Q55" i="47"/>
  <c r="Q72" i="47" s="1"/>
  <c r="P55" i="47"/>
  <c r="P72" i="47" s="1"/>
  <c r="O55" i="47"/>
  <c r="O72" i="47" s="1"/>
  <c r="N55" i="47"/>
  <c r="N72" i="47" s="1"/>
  <c r="I55" i="47"/>
  <c r="I72" i="47" s="1"/>
  <c r="G55" i="47"/>
  <c r="G72" i="47" s="1"/>
  <c r="F55" i="47"/>
  <c r="F72" i="47" s="1"/>
  <c r="E55" i="47"/>
  <c r="E72" i="47" s="1"/>
  <c r="D55" i="47"/>
  <c r="D72" i="47" s="1"/>
  <c r="S54" i="47"/>
  <c r="S71" i="47" s="1"/>
  <c r="Q54" i="47"/>
  <c r="Q71" i="47" s="1"/>
  <c r="P54" i="47"/>
  <c r="P71" i="47" s="1"/>
  <c r="O54" i="47"/>
  <c r="O71" i="47" s="1"/>
  <c r="N54" i="47"/>
  <c r="N71" i="47" s="1"/>
  <c r="I54" i="47"/>
  <c r="I71" i="47" s="1"/>
  <c r="G54" i="47"/>
  <c r="G71" i="47" s="1"/>
  <c r="F54" i="47"/>
  <c r="F71" i="47" s="1"/>
  <c r="E54" i="47"/>
  <c r="E71" i="47" s="1"/>
  <c r="D54" i="47"/>
  <c r="D71" i="47" s="1"/>
  <c r="S53" i="47"/>
  <c r="S70" i="47" s="1"/>
  <c r="Q53" i="47"/>
  <c r="Q70" i="47" s="1"/>
  <c r="P53" i="47"/>
  <c r="P70" i="47" s="1"/>
  <c r="O53" i="47"/>
  <c r="O70" i="47" s="1"/>
  <c r="N53" i="47"/>
  <c r="N70" i="47" s="1"/>
  <c r="I53" i="47"/>
  <c r="I70" i="47" s="1"/>
  <c r="G53" i="47"/>
  <c r="G70" i="47" s="1"/>
  <c r="F53" i="47"/>
  <c r="F70" i="47" s="1"/>
  <c r="E53" i="47"/>
  <c r="E70" i="47" s="1"/>
  <c r="D53" i="47"/>
  <c r="D70" i="47" s="1"/>
  <c r="S52" i="47"/>
  <c r="S69" i="47" s="1"/>
  <c r="Q52" i="47"/>
  <c r="Q69" i="47" s="1"/>
  <c r="P52" i="47"/>
  <c r="P69" i="47" s="1"/>
  <c r="O52" i="47"/>
  <c r="O69" i="47" s="1"/>
  <c r="N52" i="47"/>
  <c r="N69" i="47" s="1"/>
  <c r="I52" i="47"/>
  <c r="I69" i="47" s="1"/>
  <c r="G52" i="47"/>
  <c r="G69" i="47" s="1"/>
  <c r="F52" i="47"/>
  <c r="F69" i="47" s="1"/>
  <c r="E52" i="47"/>
  <c r="E69" i="47" s="1"/>
  <c r="D52" i="47"/>
  <c r="D69" i="47" s="1"/>
  <c r="S51" i="47"/>
  <c r="S68" i="47" s="1"/>
  <c r="Q51" i="47"/>
  <c r="Q68" i="47" s="1"/>
  <c r="P51" i="47"/>
  <c r="P68" i="47" s="1"/>
  <c r="O51" i="47"/>
  <c r="O68" i="47" s="1"/>
  <c r="N51" i="47"/>
  <c r="N68" i="47" s="1"/>
  <c r="I51" i="47"/>
  <c r="I68" i="47" s="1"/>
  <c r="G51" i="47"/>
  <c r="G68" i="47" s="1"/>
  <c r="F51" i="47"/>
  <c r="F68" i="47" s="1"/>
  <c r="E51" i="47"/>
  <c r="E68" i="47" s="1"/>
  <c r="D51" i="47"/>
  <c r="D68" i="47" s="1"/>
  <c r="S50" i="47"/>
  <c r="S67" i="47" s="1"/>
  <c r="Q50" i="47"/>
  <c r="Q67" i="47" s="1"/>
  <c r="P50" i="47"/>
  <c r="P67" i="47" s="1"/>
  <c r="O50" i="47"/>
  <c r="O67" i="47" s="1"/>
  <c r="N50" i="47"/>
  <c r="N67" i="47" s="1"/>
  <c r="I50" i="47"/>
  <c r="I67" i="47" s="1"/>
  <c r="G50" i="47"/>
  <c r="G67" i="47" s="1"/>
  <c r="F50" i="47"/>
  <c r="F67" i="47" s="1"/>
  <c r="E50" i="47"/>
  <c r="E67" i="47" s="1"/>
  <c r="D50" i="47"/>
  <c r="D67" i="47" s="1"/>
  <c r="S49" i="47"/>
  <c r="S66" i="47" s="1"/>
  <c r="Q49" i="47"/>
  <c r="Q66" i="47" s="1"/>
  <c r="P49" i="47"/>
  <c r="P66" i="47" s="1"/>
  <c r="O49" i="47"/>
  <c r="O66" i="47" s="1"/>
  <c r="N49" i="47"/>
  <c r="N66" i="47" s="1"/>
  <c r="I49" i="47"/>
  <c r="I66" i="47" s="1"/>
  <c r="G49" i="47"/>
  <c r="G66" i="47" s="1"/>
  <c r="F49" i="47"/>
  <c r="F66" i="47" s="1"/>
  <c r="E49" i="47"/>
  <c r="E66" i="47" s="1"/>
  <c r="D49" i="47"/>
  <c r="D66" i="47" s="1"/>
  <c r="S48" i="47"/>
  <c r="S65" i="47" s="1"/>
  <c r="Q48" i="47"/>
  <c r="Q65" i="47" s="1"/>
  <c r="P48" i="47"/>
  <c r="P65" i="47" s="1"/>
  <c r="O48" i="47"/>
  <c r="O65" i="47" s="1"/>
  <c r="N48" i="47"/>
  <c r="N65" i="47" s="1"/>
  <c r="I48" i="47"/>
  <c r="I65" i="47" s="1"/>
  <c r="G48" i="47"/>
  <c r="G65" i="47" s="1"/>
  <c r="F48" i="47"/>
  <c r="F65" i="47" s="1"/>
  <c r="E48" i="47"/>
  <c r="E65" i="47" s="1"/>
  <c r="D48" i="47"/>
  <c r="D65" i="47" s="1"/>
  <c r="S47" i="47"/>
  <c r="S64" i="47" s="1"/>
  <c r="Q47" i="47"/>
  <c r="Q64" i="47" s="1"/>
  <c r="P47" i="47"/>
  <c r="P64" i="47" s="1"/>
  <c r="O47" i="47"/>
  <c r="O64" i="47" s="1"/>
  <c r="N47" i="47"/>
  <c r="N64" i="47" s="1"/>
  <c r="I47" i="47"/>
  <c r="I64" i="47" s="1"/>
  <c r="G47" i="47"/>
  <c r="G64" i="47" s="1"/>
  <c r="F47" i="47"/>
  <c r="F64" i="47" s="1"/>
  <c r="E47" i="47"/>
  <c r="E64" i="47" s="1"/>
  <c r="D47" i="47"/>
  <c r="D64" i="47" s="1"/>
  <c r="S46" i="47"/>
  <c r="S63" i="47" s="1"/>
  <c r="Q46" i="47"/>
  <c r="Q63" i="47" s="1"/>
  <c r="P46" i="47"/>
  <c r="P63" i="47" s="1"/>
  <c r="O46" i="47"/>
  <c r="O63" i="47" s="1"/>
  <c r="N46" i="47"/>
  <c r="N63" i="47" s="1"/>
  <c r="I46" i="47"/>
  <c r="I63" i="47" s="1"/>
  <c r="G46" i="47"/>
  <c r="G63" i="47" s="1"/>
  <c r="F46" i="47"/>
  <c r="F63" i="47" s="1"/>
  <c r="E46" i="47"/>
  <c r="E63" i="47" s="1"/>
  <c r="D46" i="47"/>
  <c r="D63" i="47" s="1"/>
  <c r="S45" i="47"/>
  <c r="S62" i="47" s="1"/>
  <c r="Q45" i="47"/>
  <c r="Q62" i="47" s="1"/>
  <c r="P45" i="47"/>
  <c r="P62" i="47" s="1"/>
  <c r="O45" i="47"/>
  <c r="O62" i="47" s="1"/>
  <c r="N45" i="47"/>
  <c r="N62" i="47" s="1"/>
  <c r="I45" i="47"/>
  <c r="I62" i="47" s="1"/>
  <c r="G45" i="47"/>
  <c r="G62" i="47" s="1"/>
  <c r="F45" i="47"/>
  <c r="F62" i="47" s="1"/>
  <c r="E45" i="47"/>
  <c r="E62" i="47" s="1"/>
  <c r="D45" i="47"/>
  <c r="D62" i="47" s="1"/>
  <c r="Q44" i="47"/>
  <c r="Q61" i="47" s="1"/>
  <c r="P44" i="47"/>
  <c r="P61" i="47" s="1"/>
  <c r="O44" i="47"/>
  <c r="O61" i="47" s="1"/>
  <c r="N44" i="47"/>
  <c r="N61" i="47" s="1"/>
  <c r="G44" i="47"/>
  <c r="G61" i="47" s="1"/>
  <c r="F44" i="47"/>
  <c r="F61" i="47" s="1"/>
  <c r="E44" i="47"/>
  <c r="E61" i="47" s="1"/>
  <c r="D44" i="47"/>
  <c r="D61" i="47" s="1"/>
  <c r="S58" i="46" l="1"/>
  <c r="S75" i="46" s="1"/>
  <c r="Q58" i="46"/>
  <c r="Q75" i="46" s="1"/>
  <c r="P58" i="46"/>
  <c r="P75" i="46" s="1"/>
  <c r="O58" i="46"/>
  <c r="O75" i="46" s="1"/>
  <c r="N58" i="46"/>
  <c r="N75" i="46" s="1"/>
  <c r="I58" i="46"/>
  <c r="I75" i="46" s="1"/>
  <c r="G58" i="46"/>
  <c r="G75" i="46" s="1"/>
  <c r="F58" i="46"/>
  <c r="F75" i="46" s="1"/>
  <c r="E58" i="46"/>
  <c r="E75" i="46" s="1"/>
  <c r="D58" i="46"/>
  <c r="D75" i="46" s="1"/>
  <c r="S57" i="46"/>
  <c r="S74" i="46" s="1"/>
  <c r="Q57" i="46"/>
  <c r="Q74" i="46" s="1"/>
  <c r="P57" i="46"/>
  <c r="P74" i="46" s="1"/>
  <c r="O57" i="46"/>
  <c r="O74" i="46" s="1"/>
  <c r="N57" i="46"/>
  <c r="N74" i="46" s="1"/>
  <c r="I57" i="46"/>
  <c r="I74" i="46" s="1"/>
  <c r="G57" i="46"/>
  <c r="G74" i="46" s="1"/>
  <c r="F57" i="46"/>
  <c r="F74" i="46" s="1"/>
  <c r="E57" i="46"/>
  <c r="E74" i="46" s="1"/>
  <c r="D57" i="46"/>
  <c r="D74" i="46" s="1"/>
  <c r="S56" i="46"/>
  <c r="S73" i="46" s="1"/>
  <c r="Q56" i="46"/>
  <c r="Q73" i="46" s="1"/>
  <c r="P56" i="46"/>
  <c r="P73" i="46" s="1"/>
  <c r="O56" i="46"/>
  <c r="O73" i="46" s="1"/>
  <c r="N56" i="46"/>
  <c r="N73" i="46" s="1"/>
  <c r="I56" i="46"/>
  <c r="I73" i="46" s="1"/>
  <c r="G56" i="46"/>
  <c r="G73" i="46" s="1"/>
  <c r="F56" i="46"/>
  <c r="F73" i="46" s="1"/>
  <c r="E56" i="46"/>
  <c r="E73" i="46" s="1"/>
  <c r="D56" i="46"/>
  <c r="D73" i="46" s="1"/>
  <c r="S55" i="46"/>
  <c r="S72" i="46" s="1"/>
  <c r="Q55" i="46"/>
  <c r="Q72" i="46" s="1"/>
  <c r="P55" i="46"/>
  <c r="P72" i="46" s="1"/>
  <c r="O55" i="46"/>
  <c r="O72" i="46" s="1"/>
  <c r="N55" i="46"/>
  <c r="N72" i="46" s="1"/>
  <c r="I55" i="46"/>
  <c r="I72" i="46" s="1"/>
  <c r="G55" i="46"/>
  <c r="G72" i="46" s="1"/>
  <c r="F55" i="46"/>
  <c r="F72" i="46" s="1"/>
  <c r="E55" i="46"/>
  <c r="E72" i="46" s="1"/>
  <c r="D55" i="46"/>
  <c r="D72" i="46" s="1"/>
  <c r="S54" i="46"/>
  <c r="S71" i="46" s="1"/>
  <c r="Q54" i="46"/>
  <c r="Q71" i="46" s="1"/>
  <c r="P54" i="46"/>
  <c r="P71" i="46" s="1"/>
  <c r="O54" i="46"/>
  <c r="O71" i="46" s="1"/>
  <c r="N54" i="46"/>
  <c r="N71" i="46" s="1"/>
  <c r="I54" i="46"/>
  <c r="I71" i="46" s="1"/>
  <c r="G54" i="46"/>
  <c r="G71" i="46" s="1"/>
  <c r="F54" i="46"/>
  <c r="F71" i="46" s="1"/>
  <c r="E54" i="46"/>
  <c r="E71" i="46" s="1"/>
  <c r="D54" i="46"/>
  <c r="D71" i="46" s="1"/>
  <c r="S53" i="46"/>
  <c r="S70" i="46" s="1"/>
  <c r="Q53" i="46"/>
  <c r="Q70" i="46" s="1"/>
  <c r="P53" i="46"/>
  <c r="P70" i="46" s="1"/>
  <c r="O53" i="46"/>
  <c r="O70" i="46" s="1"/>
  <c r="N53" i="46"/>
  <c r="N70" i="46" s="1"/>
  <c r="I53" i="46"/>
  <c r="I70" i="46" s="1"/>
  <c r="G53" i="46"/>
  <c r="G70" i="46" s="1"/>
  <c r="F53" i="46"/>
  <c r="F70" i="46" s="1"/>
  <c r="E53" i="46"/>
  <c r="E70" i="46" s="1"/>
  <c r="D53" i="46"/>
  <c r="D70" i="46" s="1"/>
  <c r="S52" i="46"/>
  <c r="S69" i="46" s="1"/>
  <c r="Q52" i="46"/>
  <c r="Q69" i="46" s="1"/>
  <c r="P52" i="46"/>
  <c r="P69" i="46" s="1"/>
  <c r="O52" i="46"/>
  <c r="O69" i="46" s="1"/>
  <c r="N52" i="46"/>
  <c r="N69" i="46" s="1"/>
  <c r="I52" i="46"/>
  <c r="I69" i="46" s="1"/>
  <c r="G52" i="46"/>
  <c r="G69" i="46" s="1"/>
  <c r="F52" i="46"/>
  <c r="F69" i="46" s="1"/>
  <c r="E52" i="46"/>
  <c r="E69" i="46" s="1"/>
  <c r="D52" i="46"/>
  <c r="D69" i="46" s="1"/>
  <c r="S51" i="46"/>
  <c r="S68" i="46" s="1"/>
  <c r="Q51" i="46"/>
  <c r="Q68" i="46" s="1"/>
  <c r="P51" i="46"/>
  <c r="P68" i="46" s="1"/>
  <c r="O51" i="46"/>
  <c r="O68" i="46" s="1"/>
  <c r="N51" i="46"/>
  <c r="N68" i="46" s="1"/>
  <c r="I51" i="46"/>
  <c r="I68" i="46" s="1"/>
  <c r="G51" i="46"/>
  <c r="G68" i="46" s="1"/>
  <c r="F51" i="46"/>
  <c r="F68" i="46" s="1"/>
  <c r="E51" i="46"/>
  <c r="E68" i="46" s="1"/>
  <c r="D51" i="46"/>
  <c r="D68" i="46" s="1"/>
  <c r="S50" i="46"/>
  <c r="S67" i="46" s="1"/>
  <c r="Q50" i="46"/>
  <c r="Q67" i="46" s="1"/>
  <c r="P50" i="46"/>
  <c r="P67" i="46" s="1"/>
  <c r="O50" i="46"/>
  <c r="O67" i="46" s="1"/>
  <c r="N50" i="46"/>
  <c r="N67" i="46" s="1"/>
  <c r="I50" i="46"/>
  <c r="I67" i="46" s="1"/>
  <c r="G50" i="46"/>
  <c r="G67" i="46" s="1"/>
  <c r="F50" i="46"/>
  <c r="F67" i="46" s="1"/>
  <c r="E50" i="46"/>
  <c r="E67" i="46" s="1"/>
  <c r="D50" i="46"/>
  <c r="D67" i="46" s="1"/>
  <c r="S49" i="46"/>
  <c r="S66" i="46" s="1"/>
  <c r="Q49" i="46"/>
  <c r="Q66" i="46" s="1"/>
  <c r="P49" i="46"/>
  <c r="P66" i="46" s="1"/>
  <c r="O49" i="46"/>
  <c r="O66" i="46" s="1"/>
  <c r="N49" i="46"/>
  <c r="N66" i="46" s="1"/>
  <c r="I49" i="46"/>
  <c r="I66" i="46" s="1"/>
  <c r="G49" i="46"/>
  <c r="G66" i="46" s="1"/>
  <c r="F49" i="46"/>
  <c r="F66" i="46" s="1"/>
  <c r="E49" i="46"/>
  <c r="E66" i="46" s="1"/>
  <c r="D49" i="46"/>
  <c r="D66" i="46" s="1"/>
  <c r="S48" i="46"/>
  <c r="S65" i="46" s="1"/>
  <c r="Q48" i="46"/>
  <c r="Q65" i="46" s="1"/>
  <c r="P48" i="46"/>
  <c r="P65" i="46" s="1"/>
  <c r="O48" i="46"/>
  <c r="O65" i="46" s="1"/>
  <c r="N48" i="46"/>
  <c r="N65" i="46" s="1"/>
  <c r="I48" i="46"/>
  <c r="I65" i="46" s="1"/>
  <c r="G48" i="46"/>
  <c r="G65" i="46" s="1"/>
  <c r="F48" i="46"/>
  <c r="F65" i="46" s="1"/>
  <c r="E48" i="46"/>
  <c r="E65" i="46" s="1"/>
  <c r="D48" i="46"/>
  <c r="D65" i="46" s="1"/>
  <c r="S47" i="46"/>
  <c r="S64" i="46" s="1"/>
  <c r="Q47" i="46"/>
  <c r="Q64" i="46" s="1"/>
  <c r="P47" i="46"/>
  <c r="P64" i="46" s="1"/>
  <c r="O47" i="46"/>
  <c r="O64" i="46" s="1"/>
  <c r="N47" i="46"/>
  <c r="N64" i="46" s="1"/>
  <c r="I47" i="46"/>
  <c r="I64" i="46" s="1"/>
  <c r="G47" i="46"/>
  <c r="G64" i="46" s="1"/>
  <c r="F47" i="46"/>
  <c r="F64" i="46" s="1"/>
  <c r="E47" i="46"/>
  <c r="E64" i="46" s="1"/>
  <c r="D47" i="46"/>
  <c r="D64" i="46" s="1"/>
  <c r="S46" i="46"/>
  <c r="S63" i="46" s="1"/>
  <c r="Q46" i="46"/>
  <c r="Q63" i="46" s="1"/>
  <c r="P46" i="46"/>
  <c r="P63" i="46" s="1"/>
  <c r="O46" i="46"/>
  <c r="O63" i="46" s="1"/>
  <c r="N46" i="46"/>
  <c r="N63" i="46" s="1"/>
  <c r="I46" i="46"/>
  <c r="I63" i="46" s="1"/>
  <c r="G46" i="46"/>
  <c r="G63" i="46" s="1"/>
  <c r="F46" i="46"/>
  <c r="F63" i="46" s="1"/>
  <c r="E46" i="46"/>
  <c r="E63" i="46" s="1"/>
  <c r="D46" i="46"/>
  <c r="D63" i="46" s="1"/>
  <c r="S45" i="46"/>
  <c r="S62" i="46" s="1"/>
  <c r="Q45" i="46"/>
  <c r="Q62" i="46" s="1"/>
  <c r="P45" i="46"/>
  <c r="P62" i="46" s="1"/>
  <c r="O45" i="46"/>
  <c r="O62" i="46" s="1"/>
  <c r="N45" i="46"/>
  <c r="N62" i="46" s="1"/>
  <c r="I45" i="46"/>
  <c r="I62" i="46" s="1"/>
  <c r="G45" i="46"/>
  <c r="G62" i="46" s="1"/>
  <c r="F45" i="46"/>
  <c r="F62" i="46" s="1"/>
  <c r="E45" i="46"/>
  <c r="E62" i="46" s="1"/>
  <c r="D45" i="46"/>
  <c r="D62" i="46" s="1"/>
  <c r="Q44" i="46"/>
  <c r="Q61" i="46" s="1"/>
  <c r="P44" i="46"/>
  <c r="P61" i="46" s="1"/>
  <c r="O44" i="46"/>
  <c r="O61" i="46" s="1"/>
  <c r="N44" i="46"/>
  <c r="N61" i="46" s="1"/>
  <c r="G44" i="46"/>
  <c r="G61" i="46" s="1"/>
  <c r="F44" i="46"/>
  <c r="F61" i="46" s="1"/>
  <c r="E44" i="46"/>
  <c r="E61" i="46" s="1"/>
  <c r="D44" i="46"/>
  <c r="D61" i="46" s="1"/>
  <c r="S58" i="43" l="1"/>
  <c r="S75" i="43" s="1"/>
  <c r="S57" i="43"/>
  <c r="S74" i="43" s="1"/>
  <c r="S56" i="43"/>
  <c r="S73" i="43" s="1"/>
  <c r="S55" i="43"/>
  <c r="S72" i="43" s="1"/>
  <c r="S54" i="43"/>
  <c r="S71" i="43" s="1"/>
  <c r="S53" i="43"/>
  <c r="S70" i="43" s="1"/>
  <c r="S52" i="43"/>
  <c r="S69" i="43" s="1"/>
  <c r="S51" i="43"/>
  <c r="S68" i="43" s="1"/>
  <c r="S50" i="43"/>
  <c r="S67" i="43" s="1"/>
  <c r="S49" i="43"/>
  <c r="S66" i="43" s="1"/>
  <c r="S48" i="43"/>
  <c r="S65" i="43" s="1"/>
  <c r="S47" i="43"/>
  <c r="S64" i="43" s="1"/>
  <c r="S46" i="43"/>
  <c r="S63" i="43" s="1"/>
  <c r="Q58" i="43"/>
  <c r="Q75" i="43" s="1"/>
  <c r="P58" i="43"/>
  <c r="P75" i="43" s="1"/>
  <c r="O58" i="43"/>
  <c r="O75" i="43" s="1"/>
  <c r="N58" i="43"/>
  <c r="N75" i="43" s="1"/>
  <c r="Q57" i="43"/>
  <c r="Q74" i="43" s="1"/>
  <c r="P57" i="43"/>
  <c r="P74" i="43" s="1"/>
  <c r="O57" i="43"/>
  <c r="O74" i="43" s="1"/>
  <c r="N57" i="43"/>
  <c r="N74" i="43" s="1"/>
  <c r="Q56" i="43"/>
  <c r="Q73" i="43" s="1"/>
  <c r="P56" i="43"/>
  <c r="P73" i="43" s="1"/>
  <c r="O56" i="43"/>
  <c r="O73" i="43" s="1"/>
  <c r="N56" i="43"/>
  <c r="N73" i="43" s="1"/>
  <c r="Q55" i="43"/>
  <c r="Q72" i="43" s="1"/>
  <c r="P55" i="43"/>
  <c r="P72" i="43" s="1"/>
  <c r="O55" i="43"/>
  <c r="O72" i="43" s="1"/>
  <c r="N55" i="43"/>
  <c r="N72" i="43" s="1"/>
  <c r="Q54" i="43"/>
  <c r="Q71" i="43" s="1"/>
  <c r="P54" i="43"/>
  <c r="P71" i="43" s="1"/>
  <c r="O54" i="43"/>
  <c r="O71" i="43" s="1"/>
  <c r="N54" i="43"/>
  <c r="N71" i="43" s="1"/>
  <c r="Q53" i="43"/>
  <c r="Q70" i="43" s="1"/>
  <c r="P53" i="43"/>
  <c r="P70" i="43" s="1"/>
  <c r="O53" i="43"/>
  <c r="O70" i="43" s="1"/>
  <c r="N53" i="43"/>
  <c r="N70" i="43" s="1"/>
  <c r="Q52" i="43"/>
  <c r="Q69" i="43" s="1"/>
  <c r="P52" i="43"/>
  <c r="P69" i="43" s="1"/>
  <c r="O52" i="43"/>
  <c r="O69" i="43" s="1"/>
  <c r="N52" i="43"/>
  <c r="N69" i="43" s="1"/>
  <c r="Q51" i="43"/>
  <c r="Q68" i="43" s="1"/>
  <c r="P51" i="43"/>
  <c r="P68" i="43" s="1"/>
  <c r="O51" i="43"/>
  <c r="O68" i="43" s="1"/>
  <c r="N51" i="43"/>
  <c r="N68" i="43" s="1"/>
  <c r="Q50" i="43"/>
  <c r="Q67" i="43" s="1"/>
  <c r="P50" i="43"/>
  <c r="P67" i="43" s="1"/>
  <c r="O50" i="43"/>
  <c r="O67" i="43" s="1"/>
  <c r="N50" i="43"/>
  <c r="N67" i="43" s="1"/>
  <c r="Q49" i="43"/>
  <c r="Q66" i="43" s="1"/>
  <c r="P49" i="43"/>
  <c r="P66" i="43" s="1"/>
  <c r="O49" i="43"/>
  <c r="O66" i="43" s="1"/>
  <c r="N49" i="43"/>
  <c r="N66" i="43" s="1"/>
  <c r="Q48" i="43"/>
  <c r="Q65" i="43" s="1"/>
  <c r="P48" i="43"/>
  <c r="P65" i="43" s="1"/>
  <c r="O48" i="43"/>
  <c r="O65" i="43" s="1"/>
  <c r="N48" i="43"/>
  <c r="N65" i="43" s="1"/>
  <c r="Q47" i="43"/>
  <c r="Q64" i="43" s="1"/>
  <c r="P47" i="43"/>
  <c r="P64" i="43" s="1"/>
  <c r="O47" i="43"/>
  <c r="O64" i="43" s="1"/>
  <c r="N47" i="43"/>
  <c r="N64" i="43" s="1"/>
  <c r="Q46" i="43"/>
  <c r="Q63" i="43" s="1"/>
  <c r="P46" i="43"/>
  <c r="P63" i="43" s="1"/>
  <c r="O46" i="43"/>
  <c r="O63" i="43" s="1"/>
  <c r="N46" i="43"/>
  <c r="N63" i="43" s="1"/>
  <c r="Q45" i="43"/>
  <c r="Q62" i="43" s="1"/>
  <c r="P45" i="43"/>
  <c r="P62" i="43" s="1"/>
  <c r="O45" i="43"/>
  <c r="O62" i="43" s="1"/>
  <c r="N45" i="43"/>
  <c r="N62" i="43" s="1"/>
  <c r="Q44" i="43"/>
  <c r="Q61" i="43" s="1"/>
  <c r="P44" i="43"/>
  <c r="P61" i="43" s="1"/>
  <c r="O44" i="43"/>
  <c r="O61" i="43" s="1"/>
  <c r="N44" i="43"/>
  <c r="N61" i="43" s="1"/>
  <c r="G58" i="43"/>
  <c r="G75" i="43" s="1"/>
  <c r="F58" i="43"/>
  <c r="F75" i="43" s="1"/>
  <c r="E58" i="43"/>
  <c r="E75" i="43" s="1"/>
  <c r="D58" i="43"/>
  <c r="D75" i="43" s="1"/>
  <c r="G57" i="43"/>
  <c r="G74" i="43" s="1"/>
  <c r="F57" i="43"/>
  <c r="F74" i="43" s="1"/>
  <c r="E57" i="43"/>
  <c r="E74" i="43" s="1"/>
  <c r="D57" i="43"/>
  <c r="D74" i="43" s="1"/>
  <c r="G56" i="43"/>
  <c r="G73" i="43" s="1"/>
  <c r="F56" i="43"/>
  <c r="F73" i="43" s="1"/>
  <c r="E56" i="43"/>
  <c r="E73" i="43" s="1"/>
  <c r="D56" i="43"/>
  <c r="D73" i="43" s="1"/>
  <c r="G55" i="43"/>
  <c r="G72" i="43" s="1"/>
  <c r="F55" i="43"/>
  <c r="F72" i="43" s="1"/>
  <c r="E55" i="43"/>
  <c r="E72" i="43" s="1"/>
  <c r="D55" i="43"/>
  <c r="D72" i="43" s="1"/>
  <c r="G54" i="43"/>
  <c r="G71" i="43" s="1"/>
  <c r="F54" i="43"/>
  <c r="F71" i="43" s="1"/>
  <c r="E54" i="43"/>
  <c r="E71" i="43" s="1"/>
  <c r="D54" i="43"/>
  <c r="D71" i="43" s="1"/>
  <c r="G53" i="43"/>
  <c r="G70" i="43" s="1"/>
  <c r="F53" i="43"/>
  <c r="F70" i="43" s="1"/>
  <c r="E53" i="43"/>
  <c r="E70" i="43" s="1"/>
  <c r="D53" i="43"/>
  <c r="D70" i="43" s="1"/>
  <c r="G52" i="43"/>
  <c r="G69" i="43" s="1"/>
  <c r="F52" i="43"/>
  <c r="F69" i="43" s="1"/>
  <c r="E52" i="43"/>
  <c r="E69" i="43" s="1"/>
  <c r="D52" i="43"/>
  <c r="D69" i="43" s="1"/>
  <c r="G51" i="43"/>
  <c r="G68" i="43" s="1"/>
  <c r="F51" i="43"/>
  <c r="F68" i="43" s="1"/>
  <c r="E51" i="43"/>
  <c r="E68" i="43" s="1"/>
  <c r="D51" i="43"/>
  <c r="D68" i="43" s="1"/>
  <c r="G50" i="43"/>
  <c r="G67" i="43" s="1"/>
  <c r="F50" i="43"/>
  <c r="F67" i="43" s="1"/>
  <c r="E50" i="43"/>
  <c r="E67" i="43" s="1"/>
  <c r="D50" i="43"/>
  <c r="D67" i="43" s="1"/>
  <c r="G49" i="43"/>
  <c r="G66" i="43" s="1"/>
  <c r="F49" i="43"/>
  <c r="F66" i="43" s="1"/>
  <c r="E49" i="43"/>
  <c r="E66" i="43" s="1"/>
  <c r="D49" i="43"/>
  <c r="D66" i="43" s="1"/>
  <c r="G48" i="43"/>
  <c r="G65" i="43" s="1"/>
  <c r="F48" i="43"/>
  <c r="F65" i="43" s="1"/>
  <c r="E48" i="43"/>
  <c r="E65" i="43" s="1"/>
  <c r="D48" i="43"/>
  <c r="D65" i="43" s="1"/>
  <c r="G47" i="43"/>
  <c r="G64" i="43" s="1"/>
  <c r="F47" i="43"/>
  <c r="F64" i="43" s="1"/>
  <c r="E47" i="43"/>
  <c r="E64" i="43" s="1"/>
  <c r="D47" i="43"/>
  <c r="D64" i="43" s="1"/>
  <c r="G46" i="43"/>
  <c r="G63" i="43" s="1"/>
  <c r="F46" i="43"/>
  <c r="F63" i="43" s="1"/>
  <c r="E46" i="43"/>
  <c r="E63" i="43" s="1"/>
  <c r="D46" i="43"/>
  <c r="D63" i="43" s="1"/>
  <c r="G45" i="43"/>
  <c r="G62" i="43" s="1"/>
  <c r="F45" i="43"/>
  <c r="F62" i="43" s="1"/>
  <c r="E45" i="43"/>
  <c r="E62" i="43" s="1"/>
  <c r="D45" i="43"/>
  <c r="D62" i="43" s="1"/>
  <c r="G44" i="43"/>
  <c r="G61" i="43" s="1"/>
  <c r="F44" i="43"/>
  <c r="F61" i="43" s="1"/>
  <c r="E44" i="43"/>
  <c r="E61" i="43" s="1"/>
  <c r="D44" i="43"/>
  <c r="D61" i="43" s="1"/>
  <c r="I57" i="43" l="1"/>
  <c r="I74" i="43" s="1"/>
  <c r="I55" i="43"/>
  <c r="I72" i="43" s="1"/>
  <c r="I53" i="43"/>
  <c r="I70" i="43" s="1"/>
  <c r="I51" i="43"/>
  <c r="I68" i="43" s="1"/>
  <c r="I49" i="43"/>
  <c r="I66" i="43" s="1"/>
  <c r="I47" i="43"/>
  <c r="I64" i="43" s="1"/>
  <c r="I45" i="43"/>
  <c r="I62" i="43" s="1"/>
  <c r="I56" i="43" l="1"/>
  <c r="I73" i="43" s="1"/>
  <c r="I46" i="43"/>
  <c r="I63" i="43" s="1"/>
  <c r="S45" i="43"/>
  <c r="S62" i="43" s="1"/>
  <c r="I48" i="43"/>
  <c r="I65" i="43" s="1"/>
  <c r="I50" i="43"/>
  <c r="I67" i="43" s="1"/>
  <c r="I58" i="43"/>
  <c r="I75" i="43" s="1"/>
  <c r="I52" i="43"/>
  <c r="I69" i="43" s="1"/>
  <c r="I54" i="43"/>
  <c r="I71" i="43" s="1"/>
</calcChain>
</file>

<file path=xl/sharedStrings.xml><?xml version="1.0" encoding="utf-8"?>
<sst xmlns="http://schemas.openxmlformats.org/spreadsheetml/2006/main" count="332" uniqueCount="30">
  <si>
    <t>K = 1</t>
  </si>
  <si>
    <t>K = 6</t>
  </si>
  <si>
    <t>K = 12</t>
  </si>
  <si>
    <t>K = 24</t>
  </si>
  <si>
    <t>PARp-A (J = 20)</t>
  </si>
  <si>
    <t>PARp-A (J = 30)</t>
  </si>
  <si>
    <t>PARp-A (J = 40)</t>
  </si>
  <si>
    <t>PARp-A (J = 50)</t>
  </si>
  <si>
    <t>PARp-A (J = 60)</t>
  </si>
  <si>
    <t>PARp-A (J = 70)</t>
  </si>
  <si>
    <t>PARp-A (J = 80)</t>
  </si>
  <si>
    <t>SARIMA</t>
  </si>
  <si>
    <t xml:space="preserve">PARp-A  </t>
  </si>
  <si>
    <t>Southeast submarket</t>
  </si>
  <si>
    <t>Northeast submarket</t>
  </si>
  <si>
    <t>Seasonal Naïve</t>
  </si>
  <si>
    <t>Summary of bias results</t>
  </si>
  <si>
    <t>PARp-A (NEWAVE)</t>
  </si>
  <si>
    <t>Structural Model</t>
  </si>
  <si>
    <t>%PARp-A</t>
  </si>
  <si>
    <t>Summary of MAE results</t>
  </si>
  <si>
    <t>Summary of CRPS results</t>
  </si>
  <si>
    <t>Accumulated bias sum for  K = 1 to K = 24</t>
  </si>
  <si>
    <t>Accumulated MAE sum for  K = 1 to K = 24</t>
  </si>
  <si>
    <t>Accumulated CRPS sum for  K = 1 to K = 24</t>
  </si>
  <si>
    <t>Monthly Median</t>
  </si>
  <si>
    <t>PARp-A (w = 2)</t>
  </si>
  <si>
    <t>PARp-A (w = 4)</t>
  </si>
  <si>
    <t>PARp-A (w = 11)</t>
  </si>
  <si>
    <t>Score Driven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</si>
</sst>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\ #,##0.0_-;\-\ #,##0.0_-;_-\ &quot;-&quot;??_-;_-@_-"/>
    <numFmt numFmtId="165" formatCode="0.0"/>
    <numFmt numFmtId="166" formatCode="#,##0.0"/>
    <numFmt numFmtId="167" formatCode="_-\ #,##0.00_-;\-\ #,##0.00_-;_-\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11" fontId="0" fillId="0" borderId="0" xfId="0" applyNumberFormat="1"/>
    <xf numFmtId="0" fontId="0" fillId="0" borderId="0" xfId="0" applyBorder="1"/>
    <xf numFmtId="0" fontId="0" fillId="0" borderId="0" xfId="0" applyAlignment="1">
      <alignment horizontal="center"/>
    </xf>
    <xf numFmtId="164" fontId="0" fillId="0" borderId="2" xfId="2" applyNumberFormat="1" applyFont="1" applyBorder="1" applyAlignment="1">
      <alignment horizontal="center" vertical="center"/>
    </xf>
    <xf numFmtId="164" fontId="0" fillId="0" borderId="0" xfId="2" applyNumberFormat="1" applyFont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2" xfId="2" applyNumberFormat="1" applyFont="1" applyBorder="1" applyAlignment="1">
      <alignment horizontal="center" vertical="center"/>
    </xf>
    <xf numFmtId="9" fontId="0" fillId="0" borderId="3" xfId="1" applyFont="1" applyBorder="1" applyAlignment="1">
      <alignment horizontal="center"/>
    </xf>
    <xf numFmtId="9" fontId="0" fillId="0" borderId="0" xfId="1" applyFont="1" applyAlignment="1">
      <alignment horizontal="center"/>
    </xf>
    <xf numFmtId="9" fontId="0" fillId="0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0" xfId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6" fontId="0" fillId="0" borderId="1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164" fontId="0" fillId="0" borderId="3" xfId="2" applyNumberFormat="1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2" fontId="0" fillId="0" borderId="0" xfId="0" applyNumberFormat="1" applyAlignment="1">
      <alignment horizontal="left" indent="1"/>
    </xf>
    <xf numFmtId="9" fontId="0" fillId="0" borderId="0" xfId="1" applyFont="1"/>
    <xf numFmtId="2" fontId="0" fillId="0" borderId="0" xfId="0" applyNumberFormat="1"/>
    <xf numFmtId="165" fontId="0" fillId="0" borderId="0" xfId="0" applyNumberFormat="1"/>
    <xf numFmtId="9" fontId="0" fillId="0" borderId="2" xfId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3" fontId="0" fillId="0" borderId="0" xfId="2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164" fontId="0" fillId="0" borderId="0" xfId="2" applyNumberFormat="1" applyFont="1" applyFill="1" applyBorder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167" fontId="0" fillId="0" borderId="0" xfId="2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5" fontId="0" fillId="0" borderId="0" xfId="0" applyNumberFormat="1" applyAlignment="1">
      <alignment horizontal="center"/>
    </xf>
  </cellXfs>
  <cellStyles count="3">
    <cellStyle name="Normal" xfId="0" builtinId="0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86E67-B5BA-4498-AC40-504EA00A46AE}">
  <sheetPr codeName="Planilha1"/>
  <dimension ref="A1:AB80"/>
  <sheetViews>
    <sheetView showGridLines="0" workbookViewId="0">
      <selection activeCell="R44" sqref="R44:R59"/>
    </sheetView>
  </sheetViews>
  <sheetFormatPr defaultRowHeight="15" x14ac:dyDescent="0.25"/>
  <cols>
    <col min="3" max="3" width="23.85546875" customWidth="1"/>
    <col min="4" max="7" width="13.5703125" bestFit="1" customWidth="1"/>
    <col min="8" max="8" width="11.140625" style="7" customWidth="1"/>
    <col min="9" max="12" width="12.85546875" bestFit="1" customWidth="1"/>
    <col min="13" max="13" width="21.7109375" bestFit="1" customWidth="1"/>
    <col min="14" max="15" width="13.5703125" bestFit="1" customWidth="1"/>
    <col min="16" max="16" width="13" bestFit="1" customWidth="1"/>
    <col min="17" max="17" width="13.5703125" bestFit="1" customWidth="1"/>
    <col min="18" max="18" width="12.85546875" bestFit="1" customWidth="1"/>
    <col min="19" max="19" width="12.5703125" bestFit="1" customWidth="1"/>
    <col min="20" max="20" width="12.85546875" bestFit="1" customWidth="1"/>
    <col min="21" max="22" width="12.5703125" bestFit="1" customWidth="1"/>
    <col min="23" max="23" width="12.85546875" bestFit="1" customWidth="1"/>
    <col min="24" max="27" width="12.5703125" bestFit="1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8.75" x14ac:dyDescent="0.25">
      <c r="A2" s="1"/>
      <c r="B2" s="1"/>
      <c r="C2" s="13"/>
      <c r="H2"/>
      <c r="AB2" s="1"/>
    </row>
    <row r="3" spans="1:28" x14ac:dyDescent="0.25">
      <c r="A3" s="1"/>
      <c r="B3" s="1"/>
      <c r="C3" s="1"/>
      <c r="D3" s="51"/>
      <c r="E3" s="51"/>
      <c r="F3" s="51"/>
      <c r="G3" s="51"/>
      <c r="H3" s="51"/>
      <c r="I3" s="51"/>
      <c r="J3" s="51"/>
      <c r="K3" s="5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15.75" thickBot="1" x14ac:dyDescent="0.3">
      <c r="A4" s="1"/>
      <c r="B4" s="1"/>
      <c r="C4" s="19" t="s">
        <v>13</v>
      </c>
      <c r="D4" s="19">
        <v>1</v>
      </c>
      <c r="E4" s="19">
        <v>2</v>
      </c>
      <c r="F4" s="19">
        <v>3</v>
      </c>
      <c r="G4" s="19">
        <v>4</v>
      </c>
      <c r="H4" s="19">
        <v>5</v>
      </c>
      <c r="I4" s="19">
        <v>6</v>
      </c>
      <c r="J4" s="19">
        <v>7</v>
      </c>
      <c r="K4" s="19">
        <v>8</v>
      </c>
      <c r="L4" s="19">
        <v>9</v>
      </c>
      <c r="M4" s="19">
        <v>10</v>
      </c>
      <c r="N4" s="19">
        <v>11</v>
      </c>
      <c r="O4" s="19">
        <v>12</v>
      </c>
      <c r="P4" s="19">
        <v>13</v>
      </c>
      <c r="Q4" s="19">
        <v>14</v>
      </c>
      <c r="R4" s="19">
        <v>15</v>
      </c>
      <c r="S4" s="19">
        <v>16</v>
      </c>
      <c r="T4" s="19">
        <v>17</v>
      </c>
      <c r="U4" s="19">
        <v>18</v>
      </c>
      <c r="V4" s="19">
        <v>19</v>
      </c>
      <c r="W4" s="19">
        <v>20</v>
      </c>
      <c r="X4" s="19">
        <v>21</v>
      </c>
      <c r="Y4" s="19">
        <v>22</v>
      </c>
      <c r="Z4" s="19">
        <v>23</v>
      </c>
      <c r="AA4" s="19">
        <v>24</v>
      </c>
    </row>
    <row r="5" spans="1:28" ht="16.5" thickTop="1" thickBot="1" x14ac:dyDescent="0.3">
      <c r="A5" s="1"/>
      <c r="B5" s="51"/>
      <c r="C5" s="3" t="s">
        <v>17</v>
      </c>
      <c r="D5" s="15">
        <v>1249.205940625</v>
      </c>
      <c r="E5" s="15">
        <v>2234.2162264150902</v>
      </c>
      <c r="F5" s="15">
        <v>2543.4381202531599</v>
      </c>
      <c r="G5" s="15">
        <v>3031.6435828025401</v>
      </c>
      <c r="H5" s="15">
        <v>3235.0084262820501</v>
      </c>
      <c r="I5" s="15">
        <v>3685.1108225806402</v>
      </c>
      <c r="J5" s="15">
        <v>3891.4984870129801</v>
      </c>
      <c r="K5" s="15">
        <v>4191.3531666666604</v>
      </c>
      <c r="L5" s="15">
        <v>4912.0988618420997</v>
      </c>
      <c r="M5" s="15">
        <v>4680.2681059602601</v>
      </c>
      <c r="N5" s="15">
        <v>4887.3520466666596</v>
      </c>
      <c r="O5" s="15">
        <v>5179.9078489932799</v>
      </c>
      <c r="P5" s="15">
        <v>5064.2227736486402</v>
      </c>
      <c r="Q5" s="15">
        <v>5423.6734353741504</v>
      </c>
      <c r="R5" s="15">
        <v>5657.2311986301302</v>
      </c>
      <c r="S5" s="15">
        <v>5651.5541379310298</v>
      </c>
      <c r="T5" s="15">
        <v>5671.34871180555</v>
      </c>
      <c r="U5" s="15">
        <v>5781.0194825174804</v>
      </c>
      <c r="V5" s="15">
        <v>5808.3018415492897</v>
      </c>
      <c r="W5" s="15">
        <v>6270.9937198581501</v>
      </c>
      <c r="X5" s="15">
        <v>6528.7009678571403</v>
      </c>
      <c r="Y5" s="15">
        <v>6863.2609532374099</v>
      </c>
      <c r="Z5" s="15">
        <v>6827.4659275362301</v>
      </c>
      <c r="AA5" s="15">
        <v>6558.8715182481701</v>
      </c>
    </row>
    <row r="6" spans="1:28" ht="15.75" thickTop="1" x14ac:dyDescent="0.25">
      <c r="A6" s="1"/>
      <c r="B6" s="51"/>
      <c r="C6" s="20" t="s">
        <v>4</v>
      </c>
      <c r="D6" s="14">
        <v>2578.90521742391</v>
      </c>
      <c r="E6" s="14">
        <v>3777.9701269546299</v>
      </c>
      <c r="F6" s="14">
        <v>3574.4021580942399</v>
      </c>
      <c r="G6" s="14">
        <v>3829.15928179705</v>
      </c>
      <c r="H6" s="14">
        <v>3912.1809602375602</v>
      </c>
      <c r="I6" s="14">
        <v>4353.4675812223004</v>
      </c>
      <c r="J6" s="14">
        <v>4293.7150377862299</v>
      </c>
      <c r="K6" s="14">
        <v>4356.2367024033902</v>
      </c>
      <c r="L6" s="14">
        <v>4407.7362889612596</v>
      </c>
      <c r="M6" s="14">
        <v>4104.79759078394</v>
      </c>
      <c r="N6" s="14">
        <v>4219.1725223951398</v>
      </c>
      <c r="O6" s="14">
        <v>4334.8247697591096</v>
      </c>
      <c r="P6" s="14">
        <v>4277.5596483938298</v>
      </c>
      <c r="Q6" s="14">
        <v>4127.9694874902898</v>
      </c>
      <c r="R6" s="14">
        <v>3862.4625978826398</v>
      </c>
      <c r="S6" s="14">
        <v>3889.4307080734602</v>
      </c>
      <c r="T6" s="14">
        <v>4453.1544871651304</v>
      </c>
      <c r="U6" s="14">
        <v>4895.4771782405496</v>
      </c>
      <c r="V6" s="14">
        <v>5280.32067075142</v>
      </c>
      <c r="W6" s="14">
        <v>5264.0934353480498</v>
      </c>
      <c r="X6" s="14">
        <v>5278.6802653745099</v>
      </c>
      <c r="Y6" s="14">
        <v>5315.3125214321099</v>
      </c>
      <c r="Z6" s="14">
        <v>5299.9453865640999</v>
      </c>
      <c r="AA6" s="14">
        <v>5168.40560519264</v>
      </c>
    </row>
    <row r="7" spans="1:28" x14ac:dyDescent="0.25">
      <c r="A7" s="1"/>
      <c r="B7" s="51"/>
      <c r="C7" s="20" t="s">
        <v>5</v>
      </c>
      <c r="D7" s="14">
        <v>2615.0440461725698</v>
      </c>
      <c r="E7" s="14">
        <v>3926.8310837019599</v>
      </c>
      <c r="F7" s="14">
        <v>4690.2457556929103</v>
      </c>
      <c r="G7" s="14">
        <v>5335.6007115469702</v>
      </c>
      <c r="H7" s="14">
        <v>5821.7964699307304</v>
      </c>
      <c r="I7" s="14">
        <v>6466.5237207743703</v>
      </c>
      <c r="J7" s="14">
        <v>6220.4257392716399</v>
      </c>
      <c r="K7" s="14">
        <v>6383.7200091429304</v>
      </c>
      <c r="L7" s="14">
        <v>6588.1956419591697</v>
      </c>
      <c r="M7" s="14">
        <v>6422.6490212049403</v>
      </c>
      <c r="N7" s="14">
        <v>6587.0535282371702</v>
      </c>
      <c r="O7" s="14">
        <v>6547.6597086866996</v>
      </c>
      <c r="P7" s="14">
        <v>6853.9956699757204</v>
      </c>
      <c r="Q7" s="14">
        <v>7016.5347810557796</v>
      </c>
      <c r="R7" s="14">
        <v>6968.5144132257701</v>
      </c>
      <c r="S7" s="14">
        <v>6896.03609774702</v>
      </c>
      <c r="T7" s="14">
        <v>6971.7727564504603</v>
      </c>
      <c r="U7" s="14">
        <v>7104.1753129420304</v>
      </c>
      <c r="V7" s="14">
        <v>7220.6387614334099</v>
      </c>
      <c r="W7" s="14">
        <v>7078.6433724286699</v>
      </c>
      <c r="X7" s="14">
        <v>6928.9181738551597</v>
      </c>
      <c r="Y7" s="14">
        <v>6998.6089243700699</v>
      </c>
      <c r="Z7" s="14">
        <v>7146.6501999360198</v>
      </c>
      <c r="AA7" s="14">
        <v>7084.7421090808202</v>
      </c>
    </row>
    <row r="8" spans="1:28" x14ac:dyDescent="0.25">
      <c r="A8" s="1"/>
      <c r="B8" s="51"/>
      <c r="C8" s="20" t="s">
        <v>6</v>
      </c>
      <c r="D8" s="14">
        <v>2438.2287418782098</v>
      </c>
      <c r="E8" s="14">
        <v>3924.7609867186702</v>
      </c>
      <c r="F8" s="14">
        <v>4629.4628810497798</v>
      </c>
      <c r="G8" s="14">
        <v>5320.9162859452299</v>
      </c>
      <c r="H8" s="14">
        <v>5828.5513767586499</v>
      </c>
      <c r="I8" s="14">
        <v>6654.2862869782502</v>
      </c>
      <c r="J8" s="14">
        <v>6475.3192595012697</v>
      </c>
      <c r="K8" s="14">
        <v>6682.8120787631196</v>
      </c>
      <c r="L8" s="14">
        <v>7005.7757139544801</v>
      </c>
      <c r="M8" s="14">
        <v>7046.9429604970301</v>
      </c>
      <c r="N8" s="14">
        <v>7341.3885044345398</v>
      </c>
      <c r="O8" s="14">
        <v>7572.1662151017699</v>
      </c>
      <c r="P8" s="14">
        <v>7809.5663760340303</v>
      </c>
      <c r="Q8" s="14">
        <v>7960.4975368645501</v>
      </c>
      <c r="R8" s="14">
        <v>7945.4805310279098</v>
      </c>
      <c r="S8" s="14">
        <v>7909.3289063205402</v>
      </c>
      <c r="T8" s="14">
        <v>8057.4903582676698</v>
      </c>
      <c r="U8" s="14">
        <v>8242.4305246468502</v>
      </c>
      <c r="V8" s="14">
        <v>8391.6102698407703</v>
      </c>
      <c r="W8" s="14">
        <v>8268.7625200930397</v>
      </c>
      <c r="X8" s="14">
        <v>8159.4450989249799</v>
      </c>
      <c r="Y8" s="14">
        <v>8322.8170933132897</v>
      </c>
      <c r="Z8" s="14">
        <v>8565.2148869754801</v>
      </c>
      <c r="AA8" s="14">
        <v>8501.9318706663198</v>
      </c>
    </row>
    <row r="9" spans="1:28" x14ac:dyDescent="0.25">
      <c r="A9" s="1"/>
      <c r="B9" s="51"/>
      <c r="C9" s="20" t="s">
        <v>7</v>
      </c>
      <c r="D9" s="14">
        <v>1337.79173880964</v>
      </c>
      <c r="E9" s="14">
        <v>2542.1008666532298</v>
      </c>
      <c r="F9" s="14">
        <v>3212.6460497928501</v>
      </c>
      <c r="G9" s="14">
        <v>3929.2021852246698</v>
      </c>
      <c r="H9" s="14">
        <v>4409.34439613424</v>
      </c>
      <c r="I9" s="14">
        <v>5168.9662780031804</v>
      </c>
      <c r="J9" s="14">
        <v>5029.2032007903499</v>
      </c>
      <c r="K9" s="14">
        <v>5243.4733403652299</v>
      </c>
      <c r="L9" s="14">
        <v>5494.8970380557303</v>
      </c>
      <c r="M9" s="14">
        <v>5487.8087852510398</v>
      </c>
      <c r="N9" s="14">
        <v>5684.8750646829903</v>
      </c>
      <c r="O9" s="14">
        <v>5937.8060121013696</v>
      </c>
      <c r="P9" s="14">
        <v>6087.8824756839504</v>
      </c>
      <c r="Q9" s="14">
        <v>6369.8953708968102</v>
      </c>
      <c r="R9" s="14">
        <v>6447.3820301666201</v>
      </c>
      <c r="S9" s="14">
        <v>6468.7019500147899</v>
      </c>
      <c r="T9" s="14">
        <v>6667.3974256061401</v>
      </c>
      <c r="U9" s="14">
        <v>6923.2273049595296</v>
      </c>
      <c r="V9" s="14">
        <v>7121.5819871204503</v>
      </c>
      <c r="W9" s="14">
        <v>7024.0469178273697</v>
      </c>
      <c r="X9" s="14">
        <v>6906.0417994536001</v>
      </c>
      <c r="Y9" s="14">
        <v>7084.7671220782204</v>
      </c>
      <c r="Z9" s="14">
        <v>7324.6630733246702</v>
      </c>
      <c r="AA9" s="14">
        <v>7271.07364420664</v>
      </c>
    </row>
    <row r="10" spans="1:28" x14ac:dyDescent="0.25">
      <c r="A10" s="1"/>
      <c r="B10" s="51"/>
      <c r="C10" s="20" t="s">
        <v>8</v>
      </c>
      <c r="D10" s="14">
        <v>1167.14089605811</v>
      </c>
      <c r="E10" s="14">
        <v>2384.06599856414</v>
      </c>
      <c r="F10" s="14">
        <v>3083.8442057628999</v>
      </c>
      <c r="G10" s="14">
        <v>3856.92432239139</v>
      </c>
      <c r="H10" s="14">
        <v>4402.1119935101897</v>
      </c>
      <c r="I10" s="14">
        <v>5183.6880382744503</v>
      </c>
      <c r="J10" s="14">
        <v>4944.5439349034596</v>
      </c>
      <c r="K10" s="14">
        <v>5045.1431265976098</v>
      </c>
      <c r="L10" s="14">
        <v>5192.77079623398</v>
      </c>
      <c r="M10" s="14">
        <v>5096.1527428622203</v>
      </c>
      <c r="N10" s="14">
        <v>5244.3344852254304</v>
      </c>
      <c r="O10" s="14">
        <v>5461.4350245976302</v>
      </c>
      <c r="P10" s="14">
        <v>5584.5025860972601</v>
      </c>
      <c r="Q10" s="14">
        <v>5844.272037019</v>
      </c>
      <c r="R10" s="14">
        <v>5900.6656792255899</v>
      </c>
      <c r="S10" s="14">
        <v>5907.8406612921299</v>
      </c>
      <c r="T10" s="14">
        <v>6087.6920498313202</v>
      </c>
      <c r="U10" s="14">
        <v>6324.8810803235201</v>
      </c>
      <c r="V10" s="14">
        <v>6519.2701834681402</v>
      </c>
      <c r="W10" s="14">
        <v>6411.6681525073</v>
      </c>
      <c r="X10" s="14">
        <v>6286.0523998459703</v>
      </c>
      <c r="Y10" s="14">
        <v>6439.7846355526999</v>
      </c>
      <c r="Z10" s="14">
        <v>6653.6112339524398</v>
      </c>
      <c r="AA10" s="14">
        <v>6596.5540598275502</v>
      </c>
    </row>
    <row r="11" spans="1:28" x14ac:dyDescent="0.25">
      <c r="A11" s="1"/>
      <c r="B11" s="51"/>
      <c r="C11" s="20" t="s">
        <v>9</v>
      </c>
      <c r="D11" s="14">
        <v>915.038383165602</v>
      </c>
      <c r="E11" s="14">
        <v>1935.0177984330301</v>
      </c>
      <c r="F11" s="14">
        <v>2437.6863806685501</v>
      </c>
      <c r="G11" s="14">
        <v>3102.6811779795498</v>
      </c>
      <c r="H11" s="14">
        <v>3563.5064038864002</v>
      </c>
      <c r="I11" s="14">
        <v>4366.6682531652104</v>
      </c>
      <c r="J11" s="14">
        <v>4100.6124786392602</v>
      </c>
      <c r="K11" s="14">
        <v>4209.7266859362599</v>
      </c>
      <c r="L11" s="14">
        <v>4336.5475104444204</v>
      </c>
      <c r="M11" s="14">
        <v>4251.1790080099199</v>
      </c>
      <c r="N11" s="14">
        <v>4387.59788918918</v>
      </c>
      <c r="O11" s="14">
        <v>4609.1066658154796</v>
      </c>
      <c r="P11" s="14">
        <v>4809.1421095657497</v>
      </c>
      <c r="Q11" s="14">
        <v>5127.0939919229004</v>
      </c>
      <c r="R11" s="14">
        <v>5222.4062272349402</v>
      </c>
      <c r="S11" s="14">
        <v>5216.6164097972596</v>
      </c>
      <c r="T11" s="14">
        <v>5384.3573121592499</v>
      </c>
      <c r="U11" s="14">
        <v>5613.5629012155696</v>
      </c>
      <c r="V11" s="14">
        <v>5791.8853618429202</v>
      </c>
      <c r="W11" s="14">
        <v>5678.9793276091896</v>
      </c>
      <c r="X11" s="14">
        <v>5547.2922226270703</v>
      </c>
      <c r="Y11" s="14">
        <v>5697.2758075232596</v>
      </c>
      <c r="Z11" s="14">
        <v>5913.7980362594299</v>
      </c>
      <c r="AA11" s="14">
        <v>5870.4863032824596</v>
      </c>
    </row>
    <row r="12" spans="1:28" ht="15.75" thickBot="1" x14ac:dyDescent="0.3">
      <c r="A12" s="1"/>
      <c r="B12" s="51"/>
      <c r="C12" s="19" t="s">
        <v>10</v>
      </c>
      <c r="D12" s="16">
        <v>970.87441421446204</v>
      </c>
      <c r="E12" s="16">
        <v>2069.9937532925701</v>
      </c>
      <c r="F12" s="16">
        <v>2605.6211890630898</v>
      </c>
      <c r="G12" s="16">
        <v>3246.1474325594299</v>
      </c>
      <c r="H12" s="16">
        <v>3709.1618328793002</v>
      </c>
      <c r="I12" s="16">
        <v>4391.7675479611598</v>
      </c>
      <c r="J12" s="16">
        <v>4120.4449748138604</v>
      </c>
      <c r="K12" s="16">
        <v>4221.20887428886</v>
      </c>
      <c r="L12" s="16">
        <v>4363.0059113115803</v>
      </c>
      <c r="M12" s="16">
        <v>4262.85782405382</v>
      </c>
      <c r="N12" s="16">
        <v>4388.0148064833602</v>
      </c>
      <c r="O12" s="16">
        <v>4624.05049485361</v>
      </c>
      <c r="P12" s="16">
        <v>4816.7342684021296</v>
      </c>
      <c r="Q12" s="16">
        <v>5123.04889952948</v>
      </c>
      <c r="R12" s="16">
        <v>5217.0516329134298</v>
      </c>
      <c r="S12" s="16">
        <v>5209.7000340109498</v>
      </c>
      <c r="T12" s="16">
        <v>5371.6561795057396</v>
      </c>
      <c r="U12" s="16">
        <v>5602.4841045377798</v>
      </c>
      <c r="V12" s="16">
        <v>5775.3421301113203</v>
      </c>
      <c r="W12" s="16">
        <v>5662.2944564619102</v>
      </c>
      <c r="X12" s="16">
        <v>5526.6951951897199</v>
      </c>
      <c r="Y12" s="16">
        <v>5665.82530379317</v>
      </c>
      <c r="Z12" s="16">
        <v>5882.0777242438799</v>
      </c>
      <c r="AA12" s="16">
        <v>5832.0488156282299</v>
      </c>
    </row>
    <row r="13" spans="1:28" ht="15.75" thickTop="1" x14ac:dyDescent="0.25">
      <c r="A13" s="1"/>
      <c r="B13" s="51"/>
      <c r="C13" s="20" t="s">
        <v>26</v>
      </c>
      <c r="D13" s="14">
        <v>1061.2822553303699</v>
      </c>
      <c r="E13" s="14">
        <v>2249.7727381330801</v>
      </c>
      <c r="F13" s="14">
        <v>2851.1992842452401</v>
      </c>
      <c r="G13" s="14">
        <v>3506.9522559801198</v>
      </c>
      <c r="H13" s="14">
        <v>3948.0622786704998</v>
      </c>
      <c r="I13" s="14">
        <v>4615.7676286236601</v>
      </c>
      <c r="J13" s="14">
        <v>4315.0465473642098</v>
      </c>
      <c r="K13" s="14">
        <v>4379.4817767225004</v>
      </c>
      <c r="L13" s="14">
        <v>4529.9999282836898</v>
      </c>
      <c r="M13" s="14">
        <v>4422.01560553733</v>
      </c>
      <c r="N13" s="14">
        <v>4551.3657216298297</v>
      </c>
      <c r="O13" s="14">
        <v>4782.1250162099604</v>
      </c>
      <c r="P13" s="14">
        <v>4986.1796266494703</v>
      </c>
      <c r="Q13" s="14">
        <v>5285.8806688914701</v>
      </c>
      <c r="R13" s="14">
        <v>5357.4627926896701</v>
      </c>
      <c r="S13" s="14">
        <v>5333.89934344003</v>
      </c>
      <c r="T13" s="14">
        <v>5478.8811310209203</v>
      </c>
      <c r="U13" s="14">
        <v>5694.1479565293002</v>
      </c>
      <c r="V13" s="14">
        <v>5857.9879898242498</v>
      </c>
      <c r="W13" s="14">
        <v>5736.7122544046997</v>
      </c>
      <c r="X13" s="14">
        <v>5597.7277882414501</v>
      </c>
      <c r="Y13" s="14">
        <v>5731.02790935352</v>
      </c>
      <c r="Z13" s="14">
        <v>5945.4887320118496</v>
      </c>
      <c r="AA13" s="14">
        <v>5900.4016630451897</v>
      </c>
    </row>
    <row r="14" spans="1:28" x14ac:dyDescent="0.25">
      <c r="A14" s="1"/>
      <c r="B14" s="51"/>
      <c r="C14" s="20" t="s">
        <v>27</v>
      </c>
      <c r="D14" s="14">
        <v>1055.1357417818499</v>
      </c>
      <c r="E14" s="14">
        <v>2225.9628528466701</v>
      </c>
      <c r="F14" s="14">
        <v>2816.4287166061699</v>
      </c>
      <c r="G14" s="14">
        <v>3457.1326368089999</v>
      </c>
      <c r="H14" s="14">
        <v>3895.8809850847501</v>
      </c>
      <c r="I14" s="14">
        <v>4561.7929088786696</v>
      </c>
      <c r="J14" s="14">
        <v>4258.4888598678399</v>
      </c>
      <c r="K14" s="14">
        <v>4319.2513025694698</v>
      </c>
      <c r="L14" s="14">
        <v>4463.9416299661898</v>
      </c>
      <c r="M14" s="14">
        <v>4349.7393837078598</v>
      </c>
      <c r="N14" s="14">
        <v>4479.4253148623402</v>
      </c>
      <c r="O14" s="14">
        <v>4707.4160178441398</v>
      </c>
      <c r="P14" s="14">
        <v>4923.7854328040303</v>
      </c>
      <c r="Q14" s="14">
        <v>5235.6406259728801</v>
      </c>
      <c r="R14" s="14">
        <v>5313.1482326000496</v>
      </c>
      <c r="S14" s="14">
        <v>5292.1669709458802</v>
      </c>
      <c r="T14" s="14">
        <v>5437.5100401376103</v>
      </c>
      <c r="U14" s="14">
        <v>5656.1079027242704</v>
      </c>
      <c r="V14" s="14">
        <v>5818.4812933212497</v>
      </c>
      <c r="W14" s="14">
        <v>5693.3403627048601</v>
      </c>
      <c r="X14" s="14">
        <v>5551.6265817744097</v>
      </c>
      <c r="Y14" s="14">
        <v>5685.37297916441</v>
      </c>
      <c r="Z14" s="14">
        <v>5902.0429555953497</v>
      </c>
      <c r="AA14" s="14">
        <v>5858.1942882764297</v>
      </c>
    </row>
    <row r="15" spans="1:28" ht="15.75" thickBot="1" x14ac:dyDescent="0.3">
      <c r="A15" s="1"/>
      <c r="B15" s="51"/>
      <c r="C15" s="19" t="s">
        <v>28</v>
      </c>
      <c r="D15" s="16">
        <v>881.028764072944</v>
      </c>
      <c r="E15" s="16">
        <v>1925.6874503456399</v>
      </c>
      <c r="F15" s="16">
        <v>2369.5950821492602</v>
      </c>
      <c r="G15" s="16">
        <v>2960.0135112357102</v>
      </c>
      <c r="H15" s="16">
        <v>3374.9866504811798</v>
      </c>
      <c r="I15" s="16">
        <v>4091.8673325821001</v>
      </c>
      <c r="J15" s="16">
        <v>3847.3066130812199</v>
      </c>
      <c r="K15" s="16">
        <v>3924.5330483314301</v>
      </c>
      <c r="L15" s="16">
        <v>4077.3184070758898</v>
      </c>
      <c r="M15" s="16">
        <v>3961.3661359666498</v>
      </c>
      <c r="N15" s="16">
        <v>4109.8965747784796</v>
      </c>
      <c r="O15" s="16">
        <v>4325.4383383414297</v>
      </c>
      <c r="P15" s="16">
        <v>4582.2450003753202</v>
      </c>
      <c r="Q15" s="16">
        <v>4943.2669997427001</v>
      </c>
      <c r="R15" s="16">
        <v>5040.9528401115303</v>
      </c>
      <c r="S15" s="16">
        <v>5018.2746753141</v>
      </c>
      <c r="T15" s="16">
        <v>5169.6300787114196</v>
      </c>
      <c r="U15" s="16">
        <v>5404.8744568925704</v>
      </c>
      <c r="V15" s="16">
        <v>5574.1254650976998</v>
      </c>
      <c r="W15" s="16">
        <v>5442.98686734282</v>
      </c>
      <c r="X15" s="16">
        <v>5297.1297377409101</v>
      </c>
      <c r="Y15" s="16">
        <v>5438.2991156222097</v>
      </c>
      <c r="Z15" s="16">
        <v>5669.0262460157101</v>
      </c>
      <c r="AA15" s="16">
        <v>5629.8265113278703</v>
      </c>
    </row>
    <row r="16" spans="1:28" ht="16.5" thickTop="1" thickBot="1" x14ac:dyDescent="0.3">
      <c r="A16" s="1"/>
      <c r="B16" s="51"/>
      <c r="C16" s="3" t="s">
        <v>15</v>
      </c>
      <c r="D16" s="15">
        <v>894.94756249999898</v>
      </c>
      <c r="E16" s="15">
        <v>910.16999999999905</v>
      </c>
      <c r="F16" s="15">
        <v>845.19215189873398</v>
      </c>
      <c r="G16" s="15">
        <v>1058.4949044585901</v>
      </c>
      <c r="H16" s="15">
        <v>1142.4433974358899</v>
      </c>
      <c r="I16" s="15">
        <v>1187.6749032258001</v>
      </c>
      <c r="J16" s="15">
        <v>1231.21999999999</v>
      </c>
      <c r="K16" s="15">
        <v>1266.77045751633</v>
      </c>
      <c r="L16" s="15">
        <v>1330.3290789473599</v>
      </c>
      <c r="M16" s="15">
        <v>1357.23158940397</v>
      </c>
      <c r="N16" s="15">
        <v>1391.7242000000001</v>
      </c>
      <c r="O16" s="15">
        <v>1388.6485234899301</v>
      </c>
      <c r="P16" s="15">
        <v>1733.5510810810799</v>
      </c>
      <c r="Q16" s="15">
        <v>1744.1506802721001</v>
      </c>
      <c r="R16" s="15">
        <v>1676.06383561643</v>
      </c>
      <c r="S16" s="15">
        <v>1564.84544827586</v>
      </c>
      <c r="T16" s="15">
        <v>1468.0700694444399</v>
      </c>
      <c r="U16" s="15">
        <v>1483.9691608391599</v>
      </c>
      <c r="V16" s="15">
        <v>1615.1993661971801</v>
      </c>
      <c r="W16" s="18">
        <v>1683.8618439716299</v>
      </c>
      <c r="X16" s="18">
        <v>1710.1226428571399</v>
      </c>
      <c r="Y16" s="18">
        <v>1729.59050359712</v>
      </c>
      <c r="Z16" s="18">
        <v>1698.17253623188</v>
      </c>
      <c r="AA16" s="18">
        <v>1670.27985401459</v>
      </c>
    </row>
    <row r="17" spans="1:27" ht="16.5" thickTop="1" thickBot="1" x14ac:dyDescent="0.3">
      <c r="A17" s="1"/>
      <c r="B17" s="20"/>
      <c r="C17" s="19" t="s">
        <v>11</v>
      </c>
      <c r="D17" s="16">
        <v>1135.1867024752701</v>
      </c>
      <c r="E17" s="16">
        <v>1771.7578440964301</v>
      </c>
      <c r="F17" s="16">
        <v>1591.42138264294</v>
      </c>
      <c r="G17" s="16">
        <v>2064.9056974082901</v>
      </c>
      <c r="H17" s="16">
        <v>2139.9792096010701</v>
      </c>
      <c r="I17" s="16">
        <v>2432.3101615072901</v>
      </c>
      <c r="J17" s="16">
        <v>2496.3476900885998</v>
      </c>
      <c r="K17" s="16">
        <v>2506.9169256447599</v>
      </c>
      <c r="L17" s="16">
        <v>2574.37637336946</v>
      </c>
      <c r="M17" s="16">
        <v>2681.0983106296399</v>
      </c>
      <c r="N17" s="16">
        <v>2935.7342121316001</v>
      </c>
      <c r="O17" s="16">
        <v>2925.4426656969399</v>
      </c>
      <c r="P17" s="16">
        <v>2622.39863913617</v>
      </c>
      <c r="Q17" s="16">
        <v>3102.8006924567399</v>
      </c>
      <c r="R17" s="16">
        <v>2711.3739923748199</v>
      </c>
      <c r="S17" s="16">
        <v>2781.29378487548</v>
      </c>
      <c r="T17" s="16">
        <v>2294.7262110730499</v>
      </c>
      <c r="U17" s="16">
        <v>2413.7483708230902</v>
      </c>
      <c r="V17" s="16">
        <v>2865.2809423074</v>
      </c>
      <c r="W17" s="17">
        <v>2813.0849386017999</v>
      </c>
      <c r="X17" s="17">
        <v>2939.7296401690601</v>
      </c>
      <c r="Y17" s="17">
        <v>2992.1155836364201</v>
      </c>
      <c r="Z17" s="17">
        <v>3029.7575958737698</v>
      </c>
      <c r="AA17" s="17">
        <v>2626.4641517249602</v>
      </c>
    </row>
    <row r="18" spans="1:27" ht="16.5" thickTop="1" thickBot="1" x14ac:dyDescent="0.3">
      <c r="A18" s="1"/>
      <c r="B18" s="20"/>
      <c r="C18" s="19" t="s">
        <v>18</v>
      </c>
      <c r="D18" s="16">
        <v>245.12723050003299</v>
      </c>
      <c r="E18" s="16">
        <v>373.63761611802499</v>
      </c>
      <c r="F18" s="16">
        <v>591.02892524975505</v>
      </c>
      <c r="G18" s="16">
        <v>1151.9015798483999</v>
      </c>
      <c r="H18" s="16">
        <v>1319.8851556520001</v>
      </c>
      <c r="I18" s="16">
        <v>1661.9743065800999</v>
      </c>
      <c r="J18" s="16">
        <v>2259.5202108008998</v>
      </c>
      <c r="K18" s="16">
        <v>2447.4130269981902</v>
      </c>
      <c r="L18" s="16">
        <v>2757.7793930387702</v>
      </c>
      <c r="M18" s="16">
        <v>2993.74956797605</v>
      </c>
      <c r="N18" s="16">
        <v>3232.0820427285698</v>
      </c>
      <c r="O18" s="16">
        <v>3226.6582805506</v>
      </c>
      <c r="P18" s="16">
        <v>3421.6332856003201</v>
      </c>
      <c r="Q18" s="16">
        <v>3564.4586093028101</v>
      </c>
      <c r="R18" s="16">
        <v>3514.2445349386098</v>
      </c>
      <c r="S18" s="16">
        <v>3622.9325127616598</v>
      </c>
      <c r="T18" s="16">
        <v>3733.5472329129502</v>
      </c>
      <c r="U18" s="16">
        <v>4161.9879787412201</v>
      </c>
      <c r="V18" s="16">
        <v>4533.8326296715904</v>
      </c>
      <c r="W18" s="17">
        <v>4599.9842954539499</v>
      </c>
      <c r="X18" s="17">
        <v>4984.77150251485</v>
      </c>
      <c r="Y18" s="17">
        <v>5448.0117390170299</v>
      </c>
      <c r="Z18" s="17">
        <v>5665.8658154342102</v>
      </c>
      <c r="AA18" s="17">
        <v>5729.4489033087802</v>
      </c>
    </row>
    <row r="19" spans="1:27" ht="16.5" thickTop="1" thickBot="1" x14ac:dyDescent="0.3">
      <c r="A19" s="1"/>
      <c r="B19" s="20"/>
      <c r="C19" s="3" t="s">
        <v>29</v>
      </c>
      <c r="D19" s="15">
        <v>992.494818409343</v>
      </c>
      <c r="E19" s="15">
        <v>1505.61198656599</v>
      </c>
      <c r="F19" s="15">
        <v>1328.6477411957401</v>
      </c>
      <c r="G19" s="15">
        <v>1963.5737751571501</v>
      </c>
      <c r="H19" s="15">
        <v>2050.4596484889098</v>
      </c>
      <c r="I19" s="15">
        <v>1710.7717727179199</v>
      </c>
      <c r="J19" s="15">
        <v>1620.6803421019799</v>
      </c>
      <c r="K19" s="15">
        <v>1702.80655624207</v>
      </c>
      <c r="L19" s="15">
        <v>2044.8706344541299</v>
      </c>
      <c r="M19" s="15">
        <v>2367.9964297963402</v>
      </c>
      <c r="N19" s="15">
        <v>2074.3968680305702</v>
      </c>
      <c r="O19" s="15">
        <v>1959.97576102433</v>
      </c>
      <c r="P19" s="15">
        <v>2060.34365881541</v>
      </c>
      <c r="Q19" s="15">
        <v>2246.7995280733599</v>
      </c>
      <c r="R19" s="15">
        <v>2256.69605418528</v>
      </c>
      <c r="S19" s="15">
        <v>2001.62063853531</v>
      </c>
      <c r="T19" s="15">
        <v>2018.41508887595</v>
      </c>
      <c r="U19" s="15">
        <v>1885.5227464506099</v>
      </c>
      <c r="V19" s="15">
        <v>1862.02483711727</v>
      </c>
      <c r="W19" s="15">
        <v>2058.2133532601601</v>
      </c>
      <c r="X19" s="15">
        <v>2354.4733299439499</v>
      </c>
      <c r="Y19" s="15">
        <v>2389.5957870009402</v>
      </c>
      <c r="Z19" s="15">
        <v>2460.5180017472699</v>
      </c>
      <c r="AA19" s="15">
        <v>2221.8853225104499</v>
      </c>
    </row>
    <row r="20" spans="1:27" ht="15.75" thickTop="1" x14ac:dyDescent="0.25">
      <c r="A20" s="1"/>
      <c r="B20" s="20"/>
      <c r="C20" s="20" t="s">
        <v>25</v>
      </c>
      <c r="D20" s="14">
        <v>2172.1211874999999</v>
      </c>
      <c r="E20" s="14">
        <v>2312.55075471698</v>
      </c>
      <c r="F20" s="14">
        <v>2237.4560126582201</v>
      </c>
      <c r="G20" s="14">
        <v>2459.62668789809</v>
      </c>
      <c r="H20" s="14">
        <v>2522.59737179487</v>
      </c>
      <c r="I20" s="14">
        <v>2562.9893548387099</v>
      </c>
      <c r="J20" s="14">
        <v>2594.1751298701301</v>
      </c>
      <c r="K20" s="14">
        <v>2622.1737908496698</v>
      </c>
      <c r="L20" s="14">
        <v>2670.1637500000002</v>
      </c>
      <c r="M20" s="14">
        <v>2684.3637748344299</v>
      </c>
      <c r="N20" s="14">
        <v>2726.3822666666601</v>
      </c>
      <c r="O20" s="14">
        <v>2732.2640268456298</v>
      </c>
      <c r="P20" s="14">
        <v>3365.6035135135098</v>
      </c>
      <c r="Q20" s="14">
        <v>3514.0453741496599</v>
      </c>
      <c r="R20" s="14">
        <v>3437.5273287671198</v>
      </c>
      <c r="S20" s="14">
        <v>3338.45696551724</v>
      </c>
      <c r="T20" s="14">
        <v>3221.5422916666598</v>
      </c>
      <c r="U20" s="14">
        <v>3234.8063636363599</v>
      </c>
      <c r="V20" s="14">
        <v>3355.2773239436601</v>
      </c>
      <c r="W20" s="14">
        <v>3418.4199290780098</v>
      </c>
      <c r="X20" s="14">
        <v>3430.4858571428499</v>
      </c>
      <c r="Y20" s="14">
        <v>3438.8922302158198</v>
      </c>
      <c r="Z20" s="14">
        <v>3418.4239130434698</v>
      </c>
      <c r="AA20" s="14">
        <v>3403.0878102189699</v>
      </c>
    </row>
    <row r="21" spans="1:27" x14ac:dyDescent="0.25">
      <c r="A21" s="1"/>
      <c r="B21" s="1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thickBot="1" x14ac:dyDescent="0.3">
      <c r="A22" s="1"/>
      <c r="B22" s="1"/>
      <c r="C22" s="19" t="s">
        <v>14</v>
      </c>
      <c r="D22" s="19">
        <v>1</v>
      </c>
      <c r="E22" s="19">
        <v>2</v>
      </c>
      <c r="F22" s="19">
        <v>3</v>
      </c>
      <c r="G22" s="19">
        <v>4</v>
      </c>
      <c r="H22" s="19">
        <v>5</v>
      </c>
      <c r="I22" s="19">
        <v>6</v>
      </c>
      <c r="J22" s="19">
        <v>7</v>
      </c>
      <c r="K22" s="19">
        <v>8</v>
      </c>
      <c r="L22" s="19">
        <v>9</v>
      </c>
      <c r="M22" s="19">
        <v>10</v>
      </c>
      <c r="N22" s="19">
        <v>11</v>
      </c>
      <c r="O22" s="19">
        <v>12</v>
      </c>
      <c r="P22" s="19">
        <v>13</v>
      </c>
      <c r="Q22" s="19">
        <v>14</v>
      </c>
      <c r="R22" s="19">
        <v>15</v>
      </c>
      <c r="S22" s="19">
        <v>16</v>
      </c>
      <c r="T22" s="19">
        <v>17</v>
      </c>
      <c r="U22" s="19">
        <v>18</v>
      </c>
      <c r="V22" s="19">
        <v>19</v>
      </c>
      <c r="W22" s="19">
        <v>20</v>
      </c>
      <c r="X22" s="19">
        <v>21</v>
      </c>
      <c r="Y22" s="19">
        <v>22</v>
      </c>
      <c r="Z22" s="19">
        <v>23</v>
      </c>
      <c r="AA22" s="19">
        <v>24</v>
      </c>
    </row>
    <row r="23" spans="1:27" ht="16.5" thickTop="1" thickBot="1" x14ac:dyDescent="0.3">
      <c r="A23" s="1"/>
      <c r="B23" s="51"/>
      <c r="C23" s="3" t="s">
        <v>17</v>
      </c>
      <c r="D23" s="15">
        <v>541.08964062500002</v>
      </c>
      <c r="E23" s="15">
        <v>931.87076729559703</v>
      </c>
      <c r="F23" s="15">
        <v>1185.2702436708801</v>
      </c>
      <c r="G23" s="15">
        <v>1341.1866751592299</v>
      </c>
      <c r="H23" s="15">
        <v>1530.24119230769</v>
      </c>
      <c r="I23" s="15">
        <v>1679.1549193548301</v>
      </c>
      <c r="J23" s="15">
        <v>1765.8309805194799</v>
      </c>
      <c r="K23" s="15">
        <v>1883.2288627450901</v>
      </c>
      <c r="L23" s="15">
        <v>2064.1268190789401</v>
      </c>
      <c r="M23" s="15">
        <v>2149.4127086092699</v>
      </c>
      <c r="N23" s="15">
        <v>2228.5062933333302</v>
      </c>
      <c r="O23" s="15">
        <v>2335.71760402684</v>
      </c>
      <c r="P23" s="15">
        <v>2408.1088040540499</v>
      </c>
      <c r="Q23" s="15">
        <v>2574.4453061224399</v>
      </c>
      <c r="R23" s="15">
        <v>2655.2735205479398</v>
      </c>
      <c r="S23" s="15">
        <v>2715.1920862068901</v>
      </c>
      <c r="T23" s="15">
        <v>2727.4930833333301</v>
      </c>
      <c r="U23" s="15">
        <v>2761.0991853146802</v>
      </c>
      <c r="V23" s="15">
        <v>2827.9551267605598</v>
      </c>
      <c r="W23" s="15">
        <v>2945.9225815602799</v>
      </c>
      <c r="X23" s="15">
        <v>3104.2011750000001</v>
      </c>
      <c r="Y23" s="15">
        <v>3198.9165863309299</v>
      </c>
      <c r="Z23" s="15">
        <v>3229.78702536231</v>
      </c>
      <c r="AA23" s="15">
        <v>3205.5231532846701</v>
      </c>
    </row>
    <row r="24" spans="1:27" ht="15.75" thickTop="1" x14ac:dyDescent="0.25">
      <c r="A24" s="1"/>
      <c r="B24" s="51"/>
      <c r="C24" s="20" t="s">
        <v>4</v>
      </c>
      <c r="D24" s="14">
        <v>564.25483567328899</v>
      </c>
      <c r="E24" s="14">
        <v>828.83526003541795</v>
      </c>
      <c r="F24" s="14">
        <v>1092.61432392604</v>
      </c>
      <c r="G24" s="14">
        <v>1365.7877269451701</v>
      </c>
      <c r="H24" s="14">
        <v>1459.18700010979</v>
      </c>
      <c r="I24" s="14">
        <v>1440.5721027924501</v>
      </c>
      <c r="J24" s="14">
        <v>1382.59858681899</v>
      </c>
      <c r="K24" s="14">
        <v>1370.9463918669801</v>
      </c>
      <c r="L24" s="14">
        <v>1301.2084202047399</v>
      </c>
      <c r="M24" s="14">
        <v>1406.6333763186101</v>
      </c>
      <c r="N24" s="14">
        <v>1318.60023771081</v>
      </c>
      <c r="O24" s="14">
        <v>1353.1663138864899</v>
      </c>
      <c r="P24" s="14">
        <v>1590.4288239177099</v>
      </c>
      <c r="Q24" s="14">
        <v>1639.1658590479501</v>
      </c>
      <c r="R24" s="14">
        <v>1678.7901100347301</v>
      </c>
      <c r="S24" s="14">
        <v>1520.6262365170001</v>
      </c>
      <c r="T24" s="14">
        <v>1428.3844012194199</v>
      </c>
      <c r="U24" s="14">
        <v>1453.6211445547599</v>
      </c>
      <c r="V24" s="14">
        <v>1482.3657660404899</v>
      </c>
      <c r="W24" s="14">
        <v>1498.2000379127701</v>
      </c>
      <c r="X24" s="14">
        <v>1421.9869494470199</v>
      </c>
      <c r="Y24" s="14">
        <v>1454.5642875572501</v>
      </c>
      <c r="Z24" s="14">
        <v>1453.5595246462999</v>
      </c>
      <c r="AA24" s="14">
        <v>1465.51644560517</v>
      </c>
    </row>
    <row r="25" spans="1:27" x14ac:dyDescent="0.25">
      <c r="A25" s="1"/>
      <c r="B25" s="51"/>
      <c r="C25" s="20" t="s">
        <v>5</v>
      </c>
      <c r="D25" s="14">
        <v>511.080792996799</v>
      </c>
      <c r="E25" s="14">
        <v>737.51264558361902</v>
      </c>
      <c r="F25" s="14">
        <v>899.98069932671797</v>
      </c>
      <c r="G25" s="14">
        <v>1050.4518409893101</v>
      </c>
      <c r="H25" s="14">
        <v>1192.60278115542</v>
      </c>
      <c r="I25" s="14">
        <v>1268.15893611823</v>
      </c>
      <c r="J25" s="14">
        <v>1293.6210978547099</v>
      </c>
      <c r="K25" s="14">
        <v>1336.47713865893</v>
      </c>
      <c r="L25" s="14">
        <v>1358.87556385534</v>
      </c>
      <c r="M25" s="14">
        <v>1387.3456421113301</v>
      </c>
      <c r="N25" s="14">
        <v>1428.68441286809</v>
      </c>
      <c r="O25" s="14">
        <v>1541.29656428716</v>
      </c>
      <c r="P25" s="14">
        <v>1796.9849112332899</v>
      </c>
      <c r="Q25" s="14">
        <v>1876.3023966267499</v>
      </c>
      <c r="R25" s="14">
        <v>1978.8091529851599</v>
      </c>
      <c r="S25" s="14">
        <v>1885.8538888936801</v>
      </c>
      <c r="T25" s="14">
        <v>1888.56182188919</v>
      </c>
      <c r="U25" s="14">
        <v>1945.1798062933301</v>
      </c>
      <c r="V25" s="14">
        <v>1974.19145348696</v>
      </c>
      <c r="W25" s="14">
        <v>1997.1468431543501</v>
      </c>
      <c r="X25" s="14">
        <v>1942.84500361604</v>
      </c>
      <c r="Y25" s="14">
        <v>1958.0531533979499</v>
      </c>
      <c r="Z25" s="14">
        <v>2028.3678300619099</v>
      </c>
      <c r="AA25" s="14">
        <v>2067.5476887483601</v>
      </c>
    </row>
    <row r="26" spans="1:27" x14ac:dyDescent="0.25">
      <c r="A26" s="1"/>
      <c r="B26" s="51"/>
      <c r="C26" s="20" t="s">
        <v>6</v>
      </c>
      <c r="D26" s="14">
        <v>421.601763218717</v>
      </c>
      <c r="E26" s="14">
        <v>639.34986756180604</v>
      </c>
      <c r="F26" s="14">
        <v>802.34423679514305</v>
      </c>
      <c r="G26" s="14">
        <v>950.454404620996</v>
      </c>
      <c r="H26" s="14">
        <v>1123.2656390545701</v>
      </c>
      <c r="I26" s="14">
        <v>1304.1948706739699</v>
      </c>
      <c r="J26" s="14">
        <v>1364.7919719260699</v>
      </c>
      <c r="K26" s="14">
        <v>1419.90591469677</v>
      </c>
      <c r="L26" s="14">
        <v>1458.20344486817</v>
      </c>
      <c r="M26" s="14">
        <v>1467.6195583511101</v>
      </c>
      <c r="N26" s="14">
        <v>1517.7704767836301</v>
      </c>
      <c r="O26" s="14">
        <v>1652.91667121915</v>
      </c>
      <c r="P26" s="14">
        <v>1851.2747665141401</v>
      </c>
      <c r="Q26" s="14">
        <v>1959.9706145571599</v>
      </c>
      <c r="R26" s="14">
        <v>2069.9449928271501</v>
      </c>
      <c r="S26" s="14">
        <v>1998.07081415281</v>
      </c>
      <c r="T26" s="14">
        <v>2031.5084996317701</v>
      </c>
      <c r="U26" s="14">
        <v>2150.51822811691</v>
      </c>
      <c r="V26" s="14">
        <v>2232.0300161362702</v>
      </c>
      <c r="W26" s="14">
        <v>2278.2939387062402</v>
      </c>
      <c r="X26" s="14">
        <v>2215.2352141290198</v>
      </c>
      <c r="Y26" s="14">
        <v>2219.6821134991601</v>
      </c>
      <c r="Z26" s="14">
        <v>2327.4176661660399</v>
      </c>
      <c r="AA26" s="14">
        <v>2390.4784113055198</v>
      </c>
    </row>
    <row r="27" spans="1:27" x14ac:dyDescent="0.25">
      <c r="A27" s="1"/>
      <c r="B27" s="51"/>
      <c r="C27" s="20" t="s">
        <v>7</v>
      </c>
      <c r="D27" s="14">
        <v>294.432680016125</v>
      </c>
      <c r="E27" s="14">
        <v>493.04554798189702</v>
      </c>
      <c r="F27" s="14">
        <v>648.53668491626399</v>
      </c>
      <c r="G27" s="14">
        <v>854.20385830558905</v>
      </c>
      <c r="H27" s="14">
        <v>1075.76532954667</v>
      </c>
      <c r="I27" s="14">
        <v>1273.87593629711</v>
      </c>
      <c r="J27" s="14">
        <v>1340.47045135963</v>
      </c>
      <c r="K27" s="14">
        <v>1388.5623177208299</v>
      </c>
      <c r="L27" s="14">
        <v>1400.5924921097601</v>
      </c>
      <c r="M27" s="14">
        <v>1410.55228130045</v>
      </c>
      <c r="N27" s="14">
        <v>1458.96406553426</v>
      </c>
      <c r="O27" s="14">
        <v>1582.5138498091901</v>
      </c>
      <c r="P27" s="14">
        <v>1762.5553935778401</v>
      </c>
      <c r="Q27" s="14">
        <v>1885.77355639947</v>
      </c>
      <c r="R27" s="14">
        <v>1973.8099600784601</v>
      </c>
      <c r="S27" s="14">
        <v>1888.6131278003299</v>
      </c>
      <c r="T27" s="14">
        <v>1943.18562213409</v>
      </c>
      <c r="U27" s="14">
        <v>2076.2959776754201</v>
      </c>
      <c r="V27" s="14">
        <v>2173.6909163139799</v>
      </c>
      <c r="W27" s="14">
        <v>2224.14579454462</v>
      </c>
      <c r="X27" s="14">
        <v>2137.9099993652999</v>
      </c>
      <c r="Y27" s="14">
        <v>2137.4651933232499</v>
      </c>
      <c r="Z27" s="14">
        <v>2246.0167514269901</v>
      </c>
      <c r="AA27" s="14">
        <v>2312.3890244015802</v>
      </c>
    </row>
    <row r="28" spans="1:27" x14ac:dyDescent="0.25">
      <c r="A28" s="1"/>
      <c r="B28" s="51"/>
      <c r="C28" s="20" t="s">
        <v>8</v>
      </c>
      <c r="D28" s="14">
        <v>391.41060241952499</v>
      </c>
      <c r="E28" s="14">
        <v>688.11257403844695</v>
      </c>
      <c r="F28" s="14">
        <v>886.32107471331994</v>
      </c>
      <c r="G28" s="14">
        <v>1055.0263399892399</v>
      </c>
      <c r="H28" s="14">
        <v>1220.14612395431</v>
      </c>
      <c r="I28" s="14">
        <v>1390.3739938302999</v>
      </c>
      <c r="J28" s="14">
        <v>1460.56660343302</v>
      </c>
      <c r="K28" s="14">
        <v>1510.62340029856</v>
      </c>
      <c r="L28" s="14">
        <v>1522.1326126849699</v>
      </c>
      <c r="M28" s="14">
        <v>1527.0505586363599</v>
      </c>
      <c r="N28" s="14">
        <v>1580.16848933438</v>
      </c>
      <c r="O28" s="14">
        <v>1702.6152679328</v>
      </c>
      <c r="P28" s="14">
        <v>1889.3968487351599</v>
      </c>
      <c r="Q28" s="14">
        <v>2037.18333262483</v>
      </c>
      <c r="R28" s="14">
        <v>2142.0477467682199</v>
      </c>
      <c r="S28" s="14">
        <v>2046.2541194893599</v>
      </c>
      <c r="T28" s="14">
        <v>2082.3795159209799</v>
      </c>
      <c r="U28" s="14">
        <v>2200.6979233183902</v>
      </c>
      <c r="V28" s="14">
        <v>2289.84425285115</v>
      </c>
      <c r="W28" s="14">
        <v>2337.3506111012798</v>
      </c>
      <c r="X28" s="14">
        <v>2252.5808034378101</v>
      </c>
      <c r="Y28" s="14">
        <v>2254.9010022291</v>
      </c>
      <c r="Z28" s="14">
        <v>2367.0743940585899</v>
      </c>
      <c r="AA28" s="14">
        <v>2440.1867518121198</v>
      </c>
    </row>
    <row r="29" spans="1:27" x14ac:dyDescent="0.25">
      <c r="A29" s="1"/>
      <c r="B29" s="51"/>
      <c r="C29" s="20" t="s">
        <v>9</v>
      </c>
      <c r="D29" s="14">
        <v>493.08262533826502</v>
      </c>
      <c r="E29" s="14">
        <v>870.90671856204904</v>
      </c>
      <c r="F29" s="14">
        <v>1102.8983157335099</v>
      </c>
      <c r="G29" s="14">
        <v>1312.5823745268001</v>
      </c>
      <c r="H29" s="14">
        <v>1533.51251655125</v>
      </c>
      <c r="I29" s="14">
        <v>1730.29439810487</v>
      </c>
      <c r="J29" s="14">
        <v>1797.8002865389401</v>
      </c>
      <c r="K29" s="14">
        <v>1847.64966808807</v>
      </c>
      <c r="L29" s="14">
        <v>1855.60555242235</v>
      </c>
      <c r="M29" s="14">
        <v>1849.0605705555599</v>
      </c>
      <c r="N29" s="14">
        <v>1895.80991293482</v>
      </c>
      <c r="O29" s="14">
        <v>2026.1876237960601</v>
      </c>
      <c r="P29" s="14">
        <v>2240.9973957294801</v>
      </c>
      <c r="Q29" s="14">
        <v>2399.5234202256102</v>
      </c>
      <c r="R29" s="14">
        <v>2516.24043034037</v>
      </c>
      <c r="S29" s="14">
        <v>2436.2193009633102</v>
      </c>
      <c r="T29" s="14">
        <v>2479.6102868273902</v>
      </c>
      <c r="U29" s="14">
        <v>2597.2486109423799</v>
      </c>
      <c r="V29" s="14">
        <v>2688.2732767714601</v>
      </c>
      <c r="W29" s="14">
        <v>2740.5747286271699</v>
      </c>
      <c r="X29" s="14">
        <v>2653.9232670402198</v>
      </c>
      <c r="Y29" s="14">
        <v>2654.71355815475</v>
      </c>
      <c r="Z29" s="14">
        <v>2769.3553077874699</v>
      </c>
      <c r="AA29" s="14">
        <v>2834.7642737342399</v>
      </c>
    </row>
    <row r="30" spans="1:27" ht="15.75" thickBot="1" x14ac:dyDescent="0.3">
      <c r="A30" s="1"/>
      <c r="B30" s="51"/>
      <c r="C30" s="19" t="s">
        <v>10</v>
      </c>
      <c r="D30" s="16">
        <v>439.51980972488298</v>
      </c>
      <c r="E30" s="16">
        <v>790.15563627352401</v>
      </c>
      <c r="F30" s="16">
        <v>1056.1016129627001</v>
      </c>
      <c r="G30" s="16">
        <v>1287.86265171573</v>
      </c>
      <c r="H30" s="16">
        <v>1515.68148884108</v>
      </c>
      <c r="I30" s="16">
        <v>1718.7587613087001</v>
      </c>
      <c r="J30" s="16">
        <v>1805.71406411269</v>
      </c>
      <c r="K30" s="16">
        <v>1871.0910020972001</v>
      </c>
      <c r="L30" s="16">
        <v>1890.8143548139501</v>
      </c>
      <c r="M30" s="16">
        <v>1900.3331281344099</v>
      </c>
      <c r="N30" s="16">
        <v>1948.19613778027</v>
      </c>
      <c r="O30" s="16">
        <v>2093.7356609070998</v>
      </c>
      <c r="P30" s="16">
        <v>2298.3470534855001</v>
      </c>
      <c r="Q30" s="16">
        <v>2476.4250186515801</v>
      </c>
      <c r="R30" s="16">
        <v>2583.02483798399</v>
      </c>
      <c r="S30" s="16">
        <v>2495.9921806047601</v>
      </c>
      <c r="T30" s="16">
        <v>2543.5600553201202</v>
      </c>
      <c r="U30" s="16">
        <v>2663.73856476417</v>
      </c>
      <c r="V30" s="16">
        <v>2756.3025520051201</v>
      </c>
      <c r="W30" s="16">
        <v>2824.1122170130302</v>
      </c>
      <c r="X30" s="16">
        <v>2747.6366026443502</v>
      </c>
      <c r="Y30" s="16">
        <v>2751.5900555861399</v>
      </c>
      <c r="Z30" s="16">
        <v>2862.7782510236998</v>
      </c>
      <c r="AA30" s="16">
        <v>2930.5045200378499</v>
      </c>
    </row>
    <row r="31" spans="1:27" ht="15.75" thickTop="1" x14ac:dyDescent="0.25">
      <c r="A31" s="1"/>
      <c r="B31" s="51"/>
      <c r="C31" s="48" t="s">
        <v>26</v>
      </c>
      <c r="D31" s="14">
        <v>470.27442161319601</v>
      </c>
      <c r="E31" s="14">
        <v>860.742032795049</v>
      </c>
      <c r="F31" s="14">
        <v>1152.8721400189499</v>
      </c>
      <c r="G31" s="14">
        <v>1394.23453677214</v>
      </c>
      <c r="H31" s="14">
        <v>1632.43191626515</v>
      </c>
      <c r="I31" s="14">
        <v>1832.16524005422</v>
      </c>
      <c r="J31" s="14">
        <v>1911.3360418234099</v>
      </c>
      <c r="K31" s="14">
        <v>1968.94062492078</v>
      </c>
      <c r="L31" s="14">
        <v>1982.3958559717</v>
      </c>
      <c r="M31" s="14">
        <v>1986.13569211854</v>
      </c>
      <c r="N31" s="14">
        <v>2025.19604377169</v>
      </c>
      <c r="O31" s="14">
        <v>2168.83358717903</v>
      </c>
      <c r="P31" s="14">
        <v>2372.4970344698399</v>
      </c>
      <c r="Q31" s="14">
        <v>2556.7427171186901</v>
      </c>
      <c r="R31" s="14">
        <v>2678.3916845502899</v>
      </c>
      <c r="S31" s="14">
        <v>2597.9629527502402</v>
      </c>
      <c r="T31" s="14">
        <v>2647.8597951859501</v>
      </c>
      <c r="U31" s="14">
        <v>2761.6704287459302</v>
      </c>
      <c r="V31" s="14">
        <v>2850.50155978561</v>
      </c>
      <c r="W31" s="14">
        <v>2914.3929759358098</v>
      </c>
      <c r="X31" s="14">
        <v>2834.6719028245102</v>
      </c>
      <c r="Y31" s="14">
        <v>2837.3597730829101</v>
      </c>
      <c r="Z31" s="14">
        <v>2944.5677929174599</v>
      </c>
      <c r="AA31" s="14">
        <v>3007.1777159296198</v>
      </c>
    </row>
    <row r="32" spans="1:27" x14ac:dyDescent="0.25">
      <c r="A32" s="1"/>
      <c r="B32" s="51"/>
      <c r="C32" s="48" t="s">
        <v>27</v>
      </c>
      <c r="D32" s="14">
        <v>456.38749007450298</v>
      </c>
      <c r="E32" s="14">
        <v>838.00104111606197</v>
      </c>
      <c r="F32" s="14">
        <v>1118.5665900807401</v>
      </c>
      <c r="G32" s="14">
        <v>1348.35775111466</v>
      </c>
      <c r="H32" s="14">
        <v>1579.0761787200699</v>
      </c>
      <c r="I32" s="14">
        <v>1773.3315293473199</v>
      </c>
      <c r="J32" s="14">
        <v>1846.0752928652801</v>
      </c>
      <c r="K32" s="14">
        <v>1896.00782933146</v>
      </c>
      <c r="L32" s="14">
        <v>1903.2674678445901</v>
      </c>
      <c r="M32" s="14">
        <v>1902.73334665994</v>
      </c>
      <c r="N32" s="14">
        <v>1936.25962628651</v>
      </c>
      <c r="O32" s="14">
        <v>2073.9745292237099</v>
      </c>
      <c r="P32" s="14">
        <v>2281.7804428946502</v>
      </c>
      <c r="Q32" s="14">
        <v>2470.9250998504999</v>
      </c>
      <c r="R32" s="14">
        <v>2596.5973303733099</v>
      </c>
      <c r="S32" s="14">
        <v>2518.3795946579598</v>
      </c>
      <c r="T32" s="14">
        <v>2568.27914393439</v>
      </c>
      <c r="U32" s="14">
        <v>2681.2637586559299</v>
      </c>
      <c r="V32" s="14">
        <v>2768.0792352139101</v>
      </c>
      <c r="W32" s="14">
        <v>2828.8509504352801</v>
      </c>
      <c r="X32" s="14">
        <v>2746.14006315186</v>
      </c>
      <c r="Y32" s="14">
        <v>2747.3979526653702</v>
      </c>
      <c r="Z32" s="14">
        <v>2853.0680764103899</v>
      </c>
      <c r="AA32" s="14">
        <v>2913.83134529884</v>
      </c>
    </row>
    <row r="33" spans="1:27" ht="15.75" thickBot="1" x14ac:dyDescent="0.3">
      <c r="A33" s="1"/>
      <c r="B33" s="51"/>
      <c r="C33" s="19" t="s">
        <v>28</v>
      </c>
      <c r="D33" s="16">
        <v>386.72632674872801</v>
      </c>
      <c r="E33" s="16">
        <v>709.96138209550099</v>
      </c>
      <c r="F33" s="16">
        <v>935.37472191302504</v>
      </c>
      <c r="G33" s="16">
        <v>1130.65610315242</v>
      </c>
      <c r="H33" s="16">
        <v>1339.0754550536899</v>
      </c>
      <c r="I33" s="16">
        <v>1516.11235028392</v>
      </c>
      <c r="J33" s="16">
        <v>1575.83227834288</v>
      </c>
      <c r="K33" s="16">
        <v>1612.5811898494601</v>
      </c>
      <c r="L33" s="16">
        <v>1610.0859535321299</v>
      </c>
      <c r="M33" s="16">
        <v>1601.62323860164</v>
      </c>
      <c r="N33" s="16">
        <v>1621.1278493237901</v>
      </c>
      <c r="O33" s="16">
        <v>1743.16920797646</v>
      </c>
      <c r="P33" s="16">
        <v>1961.5124002571199</v>
      </c>
      <c r="Q33" s="16">
        <v>2159.3325011111901</v>
      </c>
      <c r="R33" s="16">
        <v>2292.3975800676499</v>
      </c>
      <c r="S33" s="16">
        <v>2218.3952286998301</v>
      </c>
      <c r="T33" s="16">
        <v>2271.7861237105999</v>
      </c>
      <c r="U33" s="16">
        <v>2386.4913187050802</v>
      </c>
      <c r="V33" s="16">
        <v>2471.6020281799802</v>
      </c>
      <c r="W33" s="16">
        <v>2527.3323079910901</v>
      </c>
      <c r="X33" s="16">
        <v>2439.8729891397302</v>
      </c>
      <c r="Y33" s="16">
        <v>2438.2259172990198</v>
      </c>
      <c r="Z33" s="16">
        <v>2539.8381286310801</v>
      </c>
      <c r="AA33" s="16">
        <v>2592.3267758360998</v>
      </c>
    </row>
    <row r="34" spans="1:27" ht="16.5" thickTop="1" thickBot="1" x14ac:dyDescent="0.3">
      <c r="A34" s="1"/>
      <c r="B34" s="1"/>
      <c r="C34" s="3" t="s">
        <v>15</v>
      </c>
      <c r="D34" s="15">
        <v>74.317125000000004</v>
      </c>
      <c r="E34" s="15">
        <v>92.870440251572305</v>
      </c>
      <c r="F34" s="15">
        <v>116.508417721519</v>
      </c>
      <c r="G34" s="15">
        <v>140.49184713375701</v>
      </c>
      <c r="H34" s="15">
        <v>184.67250000000001</v>
      </c>
      <c r="I34" s="15">
        <v>198.939483870967</v>
      </c>
      <c r="J34" s="15">
        <v>204.10759740259701</v>
      </c>
      <c r="K34" s="15">
        <v>209.83320261437899</v>
      </c>
      <c r="L34" s="15">
        <v>213.414013157894</v>
      </c>
      <c r="M34" s="15">
        <v>215.881655629139</v>
      </c>
      <c r="N34" s="15">
        <v>219.15299999999999</v>
      </c>
      <c r="O34" s="15">
        <v>212.12838926174399</v>
      </c>
      <c r="P34" s="15">
        <v>176.62094594594501</v>
      </c>
      <c r="Q34" s="15">
        <v>224.22755102040799</v>
      </c>
      <c r="R34" s="15">
        <v>292.52150684931502</v>
      </c>
      <c r="S34" s="15">
        <v>284.69579310344801</v>
      </c>
      <c r="T34" s="15">
        <v>272.03659722222199</v>
      </c>
      <c r="U34" s="15">
        <v>272.97377622377599</v>
      </c>
      <c r="V34" s="15">
        <v>278.61725352112597</v>
      </c>
      <c r="W34" s="15">
        <v>282.44255319148903</v>
      </c>
      <c r="X34" s="15">
        <v>285.59678571428498</v>
      </c>
      <c r="Y34" s="15">
        <v>287.22690647482</v>
      </c>
      <c r="Z34" s="15">
        <v>283.52594202898501</v>
      </c>
      <c r="AA34" s="15">
        <v>279.86248175182402</v>
      </c>
    </row>
    <row r="35" spans="1:27" ht="16.5" thickTop="1" thickBot="1" x14ac:dyDescent="0.3">
      <c r="A35" s="7"/>
      <c r="B35" s="7"/>
      <c r="C35" s="19" t="s">
        <v>11</v>
      </c>
      <c r="D35" s="16">
        <v>197.40016126361101</v>
      </c>
      <c r="E35" s="16">
        <v>346.34690187038899</v>
      </c>
      <c r="F35" s="16">
        <v>286.91975361200599</v>
      </c>
      <c r="G35" s="16">
        <v>205.329011360594</v>
      </c>
      <c r="H35" s="16">
        <v>231.41335733797601</v>
      </c>
      <c r="I35" s="16">
        <v>300.16807766903497</v>
      </c>
      <c r="J35" s="16">
        <v>284.19084694309203</v>
      </c>
      <c r="K35" s="16">
        <v>293.91634404343102</v>
      </c>
      <c r="L35" s="16">
        <v>264.66878257722101</v>
      </c>
      <c r="M35" s="16">
        <v>325.34817078976403</v>
      </c>
      <c r="N35" s="16">
        <v>340.42530294577199</v>
      </c>
      <c r="O35" s="16">
        <v>356.18354907292797</v>
      </c>
      <c r="P35" s="16">
        <v>370.33395344199101</v>
      </c>
      <c r="Q35" s="16">
        <v>480.36373309597701</v>
      </c>
      <c r="R35" s="16">
        <v>523.08845900800497</v>
      </c>
      <c r="S35" s="16">
        <v>396.54307039185898</v>
      </c>
      <c r="T35" s="16">
        <v>282.53541728748797</v>
      </c>
      <c r="U35" s="16">
        <v>331.07800714353698</v>
      </c>
      <c r="V35" s="16">
        <v>331.50057951689701</v>
      </c>
      <c r="W35" s="16">
        <v>364.58445608956202</v>
      </c>
      <c r="X35" s="16">
        <v>382.639538513025</v>
      </c>
      <c r="Y35" s="16">
        <v>438.84915703129599</v>
      </c>
      <c r="Z35" s="16">
        <v>446.51335600595098</v>
      </c>
      <c r="AA35" s="16">
        <v>503.736646974454</v>
      </c>
    </row>
    <row r="36" spans="1:27" ht="16.5" thickTop="1" thickBot="1" x14ac:dyDescent="0.3">
      <c r="A36" s="7"/>
      <c r="B36" s="7"/>
      <c r="C36" s="19" t="s">
        <v>18</v>
      </c>
      <c r="D36" s="16">
        <v>120.047617984068</v>
      </c>
      <c r="E36" s="16">
        <v>182.35376754178901</v>
      </c>
      <c r="F36" s="16">
        <v>201.495788908701</v>
      </c>
      <c r="G36" s="16">
        <v>300.91909414400499</v>
      </c>
      <c r="H36" s="16">
        <v>403.98561800056098</v>
      </c>
      <c r="I36" s="16">
        <v>522.24740988971701</v>
      </c>
      <c r="J36" s="16">
        <v>739.86165462893405</v>
      </c>
      <c r="K36" s="16">
        <v>919.32815119247198</v>
      </c>
      <c r="L36" s="16">
        <v>1203.9122271506801</v>
      </c>
      <c r="M36" s="16">
        <v>1480.5732772835299</v>
      </c>
      <c r="N36" s="16">
        <v>1752.9470826875099</v>
      </c>
      <c r="O36" s="16">
        <v>1960.7711353449399</v>
      </c>
      <c r="P36" s="16">
        <v>2256.4261473022498</v>
      </c>
      <c r="Q36" s="16">
        <v>2313.1197299905498</v>
      </c>
      <c r="R36" s="16">
        <v>2337.3271030833198</v>
      </c>
      <c r="S36" s="16">
        <v>2384.1672250575202</v>
      </c>
      <c r="T36" s="16">
        <v>2477.3234450223399</v>
      </c>
      <c r="U36" s="16">
        <v>2636.3053662592301</v>
      </c>
      <c r="V36" s="16">
        <v>2873.79752683059</v>
      </c>
      <c r="W36" s="16">
        <v>2975.6343253822101</v>
      </c>
      <c r="X36" s="16">
        <v>3332.4603615948499</v>
      </c>
      <c r="Y36" s="16">
        <v>3732.9268759019001</v>
      </c>
      <c r="Z36" s="16">
        <v>4140.78502050937</v>
      </c>
      <c r="AA36" s="16">
        <v>4570.2958804599202</v>
      </c>
    </row>
    <row r="37" spans="1:27" ht="16.5" thickTop="1" thickBot="1" x14ac:dyDescent="0.3">
      <c r="A37" s="7"/>
      <c r="B37" s="7"/>
      <c r="C37" s="3" t="s">
        <v>29</v>
      </c>
      <c r="D37" s="21">
        <v>201.37868554148</v>
      </c>
      <c r="E37" s="21">
        <v>342.86161570233799</v>
      </c>
      <c r="F37" s="21">
        <v>196.95464124083199</v>
      </c>
      <c r="G37" s="21">
        <v>174.570496581405</v>
      </c>
      <c r="H37" s="21">
        <v>146.129395724652</v>
      </c>
      <c r="I37" s="21">
        <v>48.704276227488698</v>
      </c>
      <c r="J37" s="21">
        <v>43.304346733998202</v>
      </c>
      <c r="K37" s="21">
        <v>112.00717928916799</v>
      </c>
      <c r="L37" s="21">
        <v>143.68077047321299</v>
      </c>
      <c r="M37" s="21">
        <v>170.18020699324501</v>
      </c>
      <c r="N37" s="21">
        <v>119.682798261061</v>
      </c>
      <c r="O37" s="21">
        <v>199.372601819821</v>
      </c>
      <c r="P37" s="21">
        <v>305.447036518674</v>
      </c>
      <c r="Q37" s="21">
        <v>411.78259926560003</v>
      </c>
      <c r="R37" s="21">
        <v>315.22018299535</v>
      </c>
      <c r="S37" s="21">
        <v>135.58760989898099</v>
      </c>
      <c r="T37" s="21">
        <v>37.86226452511</v>
      </c>
      <c r="U37" s="21">
        <v>-6.6140931010176498</v>
      </c>
      <c r="V37" s="21">
        <v>-5.2428618883031897</v>
      </c>
      <c r="W37" s="21">
        <v>36.959268406083801</v>
      </c>
      <c r="X37" s="21">
        <v>76.244062495667507</v>
      </c>
      <c r="Y37" s="21">
        <v>93.014400628861097</v>
      </c>
      <c r="Z37" s="21">
        <v>139.289561054057</v>
      </c>
      <c r="AA37" s="21">
        <v>160.967955314048</v>
      </c>
    </row>
    <row r="38" spans="1:27" ht="15.75" thickTop="1" x14ac:dyDescent="0.25">
      <c r="C38" s="42" t="s">
        <v>25</v>
      </c>
      <c r="D38" s="14">
        <v>81.4134999999999</v>
      </c>
      <c r="E38" s="14">
        <v>83.167861635220007</v>
      </c>
      <c r="F38" s="14">
        <v>70.297088607594802</v>
      </c>
      <c r="G38" s="14">
        <v>76.513121019108198</v>
      </c>
      <c r="H38" s="14">
        <v>90.8935897435897</v>
      </c>
      <c r="I38" s="14">
        <v>91.442064516128895</v>
      </c>
      <c r="J38" s="14">
        <v>90.903246753246705</v>
      </c>
      <c r="K38" s="14">
        <v>92.255490196078298</v>
      </c>
      <c r="L38" s="14">
        <v>89.633421052631505</v>
      </c>
      <c r="M38" s="14">
        <v>89.933576158940298</v>
      </c>
      <c r="N38" s="14">
        <v>92.365266666666599</v>
      </c>
      <c r="O38" s="14">
        <v>84.489731543624103</v>
      </c>
      <c r="P38" s="14">
        <v>252.75979729729701</v>
      </c>
      <c r="Q38" s="14">
        <v>282.66578231292499</v>
      </c>
      <c r="R38" s="14">
        <v>311.91698630136898</v>
      </c>
      <c r="S38" s="14">
        <v>285.305931034482</v>
      </c>
      <c r="T38" s="14">
        <v>240.811736111111</v>
      </c>
      <c r="U38" s="14">
        <v>227.316643356643</v>
      </c>
      <c r="V38" s="14">
        <v>227.206408450704</v>
      </c>
      <c r="W38" s="14">
        <v>226.72439716311999</v>
      </c>
      <c r="X38" s="14">
        <v>223.58592857142801</v>
      </c>
      <c r="Y38" s="14">
        <v>223.30582733812901</v>
      </c>
      <c r="Z38" s="14">
        <v>219.141666666666</v>
      </c>
      <c r="AA38" s="14">
        <v>215.00824817518199</v>
      </c>
    </row>
    <row r="39" spans="1:27" x14ac:dyDescent="0.25">
      <c r="C39" s="5"/>
    </row>
    <row r="40" spans="1:27" ht="18.75" x14ac:dyDescent="0.25">
      <c r="C40" s="13" t="s">
        <v>16</v>
      </c>
    </row>
    <row r="41" spans="1:27" x14ac:dyDescent="0.25">
      <c r="C41" s="5"/>
    </row>
    <row r="42" spans="1:27" x14ac:dyDescent="0.25">
      <c r="C42" s="1"/>
      <c r="D42" s="51" t="s">
        <v>13</v>
      </c>
      <c r="E42" s="51"/>
      <c r="F42" s="51"/>
      <c r="G42" s="51"/>
      <c r="H42" s="52"/>
      <c r="I42" s="6"/>
      <c r="N42" s="51" t="s">
        <v>14</v>
      </c>
      <c r="O42" s="51"/>
      <c r="P42" s="51"/>
      <c r="Q42" s="51"/>
      <c r="R42" s="52"/>
    </row>
    <row r="43" spans="1:27" ht="30" customHeight="1" thickBot="1" x14ac:dyDescent="0.3">
      <c r="C43" s="2"/>
      <c r="D43" s="19" t="s">
        <v>0</v>
      </c>
      <c r="E43" s="19" t="s">
        <v>1</v>
      </c>
      <c r="F43" s="19" t="s">
        <v>2</v>
      </c>
      <c r="G43" s="19" t="s">
        <v>3</v>
      </c>
      <c r="H43" s="50" t="s">
        <v>22</v>
      </c>
      <c r="I43" s="50"/>
      <c r="N43" s="19" t="s">
        <v>0</v>
      </c>
      <c r="O43" s="19" t="s">
        <v>1</v>
      </c>
      <c r="P43" s="19" t="s">
        <v>2</v>
      </c>
      <c r="Q43" s="19" t="s">
        <v>3</v>
      </c>
      <c r="R43" s="50" t="s">
        <v>22</v>
      </c>
      <c r="S43" s="50"/>
    </row>
    <row r="44" spans="1:27" ht="16.5" thickTop="1" thickBot="1" x14ac:dyDescent="0.3">
      <c r="C44" s="3" t="s">
        <v>12</v>
      </c>
      <c r="D44" s="8">
        <f t="shared" ref="D44:D59" si="0">D5</f>
        <v>1249.205940625</v>
      </c>
      <c r="E44" s="8">
        <f t="shared" ref="E44:E59" si="1">I5</f>
        <v>3685.1108225806402</v>
      </c>
      <c r="F44" s="8">
        <f t="shared" ref="F44:F59" si="2">O5</f>
        <v>5179.9078489932799</v>
      </c>
      <c r="G44" s="8">
        <f t="shared" ref="G44:G59" si="3">AA5</f>
        <v>6558.8715182481701</v>
      </c>
      <c r="H44" s="8">
        <v>106006.041424999</v>
      </c>
      <c r="I44" s="26" t="s">
        <v>19</v>
      </c>
      <c r="M44" s="3" t="s">
        <v>12</v>
      </c>
      <c r="N44" s="12">
        <f t="shared" ref="N44:N58" si="4">D23</f>
        <v>541.08964062500002</v>
      </c>
      <c r="O44" s="12">
        <f t="shared" ref="O44:O58" si="5">I23</f>
        <v>1679.1549193548301</v>
      </c>
      <c r="P44" s="12">
        <f t="shared" ref="P44:P58" si="6">O23</f>
        <v>2335.71760402684</v>
      </c>
      <c r="Q44" s="12">
        <f t="shared" ref="Q44:Q58" si="7">AA23</f>
        <v>3205.5231532846701</v>
      </c>
      <c r="R44" s="10">
        <v>49356.924934374998</v>
      </c>
      <c r="S44" s="26" t="s">
        <v>19</v>
      </c>
    </row>
    <row r="45" spans="1:27" ht="15.75" thickTop="1" x14ac:dyDescent="0.25">
      <c r="C45" s="20" t="s">
        <v>4</v>
      </c>
      <c r="D45" s="11">
        <f t="shared" si="0"/>
        <v>2578.90521742391</v>
      </c>
      <c r="E45" s="11">
        <f t="shared" si="1"/>
        <v>4353.4675812223004</v>
      </c>
      <c r="F45" s="11">
        <f t="shared" si="2"/>
        <v>4334.8247697591096</v>
      </c>
      <c r="G45" s="11">
        <f t="shared" si="3"/>
        <v>5168.40560519264</v>
      </c>
      <c r="H45" s="9">
        <v>96744.250164352503</v>
      </c>
      <c r="I45" s="23">
        <f t="shared" ref="I45:I59" si="8">H45/$H$44</f>
        <v>0.91262959038802172</v>
      </c>
      <c r="M45" s="20" t="s">
        <v>4</v>
      </c>
      <c r="N45" s="31">
        <f t="shared" si="4"/>
        <v>564.25483567328899</v>
      </c>
      <c r="O45" s="31">
        <f t="shared" si="5"/>
        <v>1440.5721027924501</v>
      </c>
      <c r="P45" s="31">
        <f t="shared" si="6"/>
        <v>1353.1663138864899</v>
      </c>
      <c r="Q45" s="31">
        <f t="shared" si="7"/>
        <v>1465.51644560517</v>
      </c>
      <c r="R45" s="32">
        <v>30451.144914082299</v>
      </c>
      <c r="S45" s="23">
        <f t="shared" ref="S45:S59" si="9">R45/$R$44</f>
        <v>0.61695790316293331</v>
      </c>
    </row>
    <row r="46" spans="1:27" x14ac:dyDescent="0.25">
      <c r="C46" s="20" t="s">
        <v>5</v>
      </c>
      <c r="D46" s="11">
        <f t="shared" si="0"/>
        <v>2615.0440461725698</v>
      </c>
      <c r="E46" s="11">
        <f t="shared" si="1"/>
        <v>6466.5237207743703</v>
      </c>
      <c r="F46" s="11">
        <f t="shared" si="2"/>
        <v>6547.6597086866996</v>
      </c>
      <c r="G46" s="11">
        <f t="shared" si="3"/>
        <v>7084.7421090808202</v>
      </c>
      <c r="H46" s="9">
        <v>140047.98253655</v>
      </c>
      <c r="I46" s="27">
        <f t="shared" si="8"/>
        <v>1.3211320850579655</v>
      </c>
      <c r="M46" s="20" t="s">
        <v>5</v>
      </c>
      <c r="N46" s="31">
        <f t="shared" si="4"/>
        <v>511.080792996799</v>
      </c>
      <c r="O46" s="31">
        <f t="shared" si="5"/>
        <v>1268.15893611823</v>
      </c>
      <c r="P46" s="31">
        <f t="shared" si="6"/>
        <v>1541.29656428716</v>
      </c>
      <c r="Q46" s="31">
        <f t="shared" si="7"/>
        <v>2067.5476887483601</v>
      </c>
      <c r="R46" s="32">
        <v>34224.793331454202</v>
      </c>
      <c r="S46" s="24">
        <f t="shared" si="9"/>
        <v>0.69341421445844753</v>
      </c>
    </row>
    <row r="47" spans="1:27" x14ac:dyDescent="0.25">
      <c r="C47" s="20" t="s">
        <v>6</v>
      </c>
      <c r="D47" s="11">
        <f t="shared" si="0"/>
        <v>2438.2287418782098</v>
      </c>
      <c r="E47" s="11">
        <f t="shared" si="1"/>
        <v>6654.2862869782502</v>
      </c>
      <c r="F47" s="11">
        <f t="shared" si="2"/>
        <v>7572.1662151017699</v>
      </c>
      <c r="G47" s="11">
        <f t="shared" si="3"/>
        <v>8501.9318706663198</v>
      </c>
      <c r="H47" s="9">
        <v>155469.17562198499</v>
      </c>
      <c r="I47" s="27">
        <f t="shared" si="8"/>
        <v>1.4666067474275224</v>
      </c>
      <c r="M47" s="20" t="s">
        <v>6</v>
      </c>
      <c r="N47" s="31">
        <f t="shared" si="4"/>
        <v>421.601763218717</v>
      </c>
      <c r="O47" s="31">
        <f t="shared" si="5"/>
        <v>1304.1948706739699</v>
      </c>
      <c r="P47" s="31">
        <f t="shared" si="6"/>
        <v>1652.91667121915</v>
      </c>
      <c r="Q47" s="31">
        <f t="shared" si="7"/>
        <v>2390.4784113055198</v>
      </c>
      <c r="R47" s="32">
        <v>36417.1814548037</v>
      </c>
      <c r="S47" s="24">
        <f t="shared" si="9"/>
        <v>0.73783327270132837</v>
      </c>
    </row>
    <row r="48" spans="1:27" x14ac:dyDescent="0.25">
      <c r="C48" s="20" t="s">
        <v>7</v>
      </c>
      <c r="D48" s="11">
        <f t="shared" si="0"/>
        <v>1337.79173880964</v>
      </c>
      <c r="E48" s="11">
        <f t="shared" si="1"/>
        <v>5168.9662780031804</v>
      </c>
      <c r="F48" s="11">
        <f t="shared" si="2"/>
        <v>5937.8060121013696</v>
      </c>
      <c r="G48" s="11">
        <f t="shared" si="3"/>
        <v>7271.07364420664</v>
      </c>
      <c r="H48" s="9">
        <v>123980.49644707001</v>
      </c>
      <c r="I48" s="27">
        <f t="shared" si="8"/>
        <v>1.1695606663587022</v>
      </c>
      <c r="M48" s="20" t="s">
        <v>7</v>
      </c>
      <c r="N48" s="31">
        <f t="shared" si="4"/>
        <v>294.432680016125</v>
      </c>
      <c r="O48" s="31">
        <f t="shared" si="5"/>
        <v>1273.87593629711</v>
      </c>
      <c r="P48" s="31">
        <f t="shared" si="6"/>
        <v>1582.5138498091901</v>
      </c>
      <c r="Q48" s="31">
        <f t="shared" si="7"/>
        <v>2312.3890244015802</v>
      </c>
      <c r="R48" s="32">
        <v>34681.312533720302</v>
      </c>
      <c r="S48" s="24">
        <f t="shared" si="9"/>
        <v>0.70266355896021881</v>
      </c>
    </row>
    <row r="49" spans="3:20" x14ac:dyDescent="0.25">
      <c r="C49" s="20" t="s">
        <v>8</v>
      </c>
      <c r="D49" s="11">
        <f t="shared" si="0"/>
        <v>1167.14089605811</v>
      </c>
      <c r="E49" s="11">
        <f t="shared" si="1"/>
        <v>5183.6880382744503</v>
      </c>
      <c r="F49" s="11">
        <f t="shared" si="2"/>
        <v>5461.4350245976302</v>
      </c>
      <c r="G49" s="11">
        <f t="shared" si="3"/>
        <v>6596.5540598275502</v>
      </c>
      <c r="H49" s="9">
        <v>115331.905483992</v>
      </c>
      <c r="I49" s="27">
        <f t="shared" si="8"/>
        <v>1.0879748355247394</v>
      </c>
      <c r="M49" s="20" t="s">
        <v>8</v>
      </c>
      <c r="N49" s="31">
        <f t="shared" si="4"/>
        <v>391.41060241952499</v>
      </c>
      <c r="O49" s="31">
        <f t="shared" si="5"/>
        <v>1390.3739938302999</v>
      </c>
      <c r="P49" s="31">
        <f t="shared" si="6"/>
        <v>1702.6152679328</v>
      </c>
      <c r="Q49" s="31">
        <f t="shared" si="7"/>
        <v>2440.1867518121198</v>
      </c>
      <c r="R49" s="32">
        <v>37749.151753944301</v>
      </c>
      <c r="S49" s="24">
        <f t="shared" si="9"/>
        <v>0.7648197654966471</v>
      </c>
    </row>
    <row r="50" spans="3:20" x14ac:dyDescent="0.25">
      <c r="C50" s="20" t="s">
        <v>9</v>
      </c>
      <c r="D50" s="11">
        <f t="shared" si="0"/>
        <v>915.038383165602</v>
      </c>
      <c r="E50" s="11">
        <f t="shared" si="1"/>
        <v>4366.6682531652104</v>
      </c>
      <c r="F50" s="11">
        <f t="shared" si="2"/>
        <v>4609.1066658154796</v>
      </c>
      <c r="G50" s="11">
        <f t="shared" si="3"/>
        <v>5870.4863032824596</v>
      </c>
      <c r="H50" s="9">
        <v>99094.641053906002</v>
      </c>
      <c r="I50" s="27">
        <f t="shared" si="8"/>
        <v>0.93480182564893788</v>
      </c>
      <c r="M50" s="20" t="s">
        <v>9</v>
      </c>
      <c r="N50" s="31">
        <f t="shared" si="4"/>
        <v>493.08262533826502</v>
      </c>
      <c r="O50" s="31">
        <f t="shared" si="5"/>
        <v>1730.29439810487</v>
      </c>
      <c r="P50" s="31">
        <f t="shared" si="6"/>
        <v>2026.1876237960601</v>
      </c>
      <c r="Q50" s="31">
        <f t="shared" si="7"/>
        <v>2834.7642737342399</v>
      </c>
      <c r="R50" s="32">
        <v>45155.903306840803</v>
      </c>
      <c r="S50" s="24">
        <f t="shared" si="9"/>
        <v>0.9148848589510008</v>
      </c>
    </row>
    <row r="51" spans="3:20" ht="15.75" thickBot="1" x14ac:dyDescent="0.3">
      <c r="C51" s="19" t="s">
        <v>10</v>
      </c>
      <c r="D51" s="10">
        <f t="shared" si="0"/>
        <v>970.87441421446204</v>
      </c>
      <c r="E51" s="10">
        <f t="shared" si="1"/>
        <v>4391.7675479611598</v>
      </c>
      <c r="F51" s="10">
        <f t="shared" si="2"/>
        <v>4624.05049485361</v>
      </c>
      <c r="G51" s="10">
        <f t="shared" si="3"/>
        <v>5832.0488156282299</v>
      </c>
      <c r="H51" s="10">
        <v>99673.901633787493</v>
      </c>
      <c r="I51" s="25">
        <f t="shared" si="8"/>
        <v>0.94026623665886444</v>
      </c>
      <c r="M51" s="19" t="s">
        <v>10</v>
      </c>
      <c r="N51" s="33">
        <f t="shared" si="4"/>
        <v>439.51980972488298</v>
      </c>
      <c r="O51" s="33">
        <f t="shared" si="5"/>
        <v>1718.7587613087001</v>
      </c>
      <c r="P51" s="33">
        <f t="shared" si="6"/>
        <v>2093.7356609070998</v>
      </c>
      <c r="Q51" s="33">
        <f t="shared" si="7"/>
        <v>2930.5045200378499</v>
      </c>
      <c r="R51" s="30">
        <v>45965.452354090703</v>
      </c>
      <c r="S51" s="25">
        <f t="shared" si="9"/>
        <v>0.93128679339740883</v>
      </c>
    </row>
    <row r="52" spans="3:20" ht="15.75" thickTop="1" x14ac:dyDescent="0.25">
      <c r="C52" s="48" t="s">
        <v>26</v>
      </c>
      <c r="D52" s="11">
        <f t="shared" si="0"/>
        <v>1061.2822553303699</v>
      </c>
      <c r="E52" s="11">
        <f t="shared" si="1"/>
        <v>4615.7676286236601</v>
      </c>
      <c r="F52" s="11">
        <f t="shared" si="2"/>
        <v>4782.1250162099604</v>
      </c>
      <c r="G52" s="11">
        <f t="shared" si="3"/>
        <v>5900.4016630451897</v>
      </c>
      <c r="H52" s="9">
        <v>102935.55904900499</v>
      </c>
      <c r="I52" s="27">
        <f t="shared" si="8"/>
        <v>0.97103483598935803</v>
      </c>
      <c r="M52" s="48" t="s">
        <v>26</v>
      </c>
      <c r="N52" s="31">
        <f t="shared" si="4"/>
        <v>470.27442161319601</v>
      </c>
      <c r="O52" s="31">
        <f t="shared" si="5"/>
        <v>1832.16524005422</v>
      </c>
      <c r="P52" s="31">
        <f t="shared" si="6"/>
        <v>2168.83358717903</v>
      </c>
      <c r="Q52" s="31">
        <f t="shared" si="7"/>
        <v>3007.1777159296198</v>
      </c>
      <c r="R52" s="32">
        <v>47948.550523907601</v>
      </c>
      <c r="S52" s="24">
        <f t="shared" si="9"/>
        <v>0.97146551548055371</v>
      </c>
    </row>
    <row r="53" spans="3:20" x14ac:dyDescent="0.25">
      <c r="C53" s="48" t="s">
        <v>27</v>
      </c>
      <c r="D53" s="11">
        <f t="shared" si="0"/>
        <v>1055.1357417818499</v>
      </c>
      <c r="E53" s="11">
        <f t="shared" si="1"/>
        <v>4561.7929088786696</v>
      </c>
      <c r="F53" s="11">
        <f t="shared" si="2"/>
        <v>4707.4160178441398</v>
      </c>
      <c r="G53" s="11">
        <f t="shared" si="3"/>
        <v>5858.1942882764297</v>
      </c>
      <c r="H53" s="9">
        <v>101859.09119209999</v>
      </c>
      <c r="I53" s="27">
        <f t="shared" si="8"/>
        <v>0.96088005761602713</v>
      </c>
      <c r="M53" s="48" t="s">
        <v>27</v>
      </c>
      <c r="N53" s="31">
        <f t="shared" si="4"/>
        <v>456.38749007450298</v>
      </c>
      <c r="O53" s="31">
        <f t="shared" si="5"/>
        <v>1773.3315293473199</v>
      </c>
      <c r="P53" s="31">
        <f t="shared" si="6"/>
        <v>2073.9745292237099</v>
      </c>
      <c r="Q53" s="31">
        <f t="shared" si="7"/>
        <v>2913.83134529884</v>
      </c>
      <c r="R53" s="32">
        <v>46349.997279408599</v>
      </c>
      <c r="S53" s="24">
        <f t="shared" si="9"/>
        <v>0.93907789719549162</v>
      </c>
    </row>
    <row r="54" spans="3:20" ht="15.75" thickBot="1" x14ac:dyDescent="0.3">
      <c r="C54" s="19" t="s">
        <v>28</v>
      </c>
      <c r="D54" s="10">
        <f t="shared" si="0"/>
        <v>881.028764072944</v>
      </c>
      <c r="E54" s="10">
        <f t="shared" si="1"/>
        <v>4091.8673325821001</v>
      </c>
      <c r="F54" s="10">
        <f t="shared" si="2"/>
        <v>4325.4383383414297</v>
      </c>
      <c r="G54" s="10">
        <f t="shared" si="3"/>
        <v>5629.8265113278703</v>
      </c>
      <c r="H54" s="10">
        <v>94467.140324575201</v>
      </c>
      <c r="I54" s="27">
        <f t="shared" si="8"/>
        <v>0.89114864638551983</v>
      </c>
      <c r="M54" s="19" t="s">
        <v>28</v>
      </c>
      <c r="N54" s="33">
        <f t="shared" si="4"/>
        <v>386.72632674872801</v>
      </c>
      <c r="O54" s="33">
        <f t="shared" si="5"/>
        <v>1516.11235028392</v>
      </c>
      <c r="P54" s="33">
        <f t="shared" si="6"/>
        <v>1743.16920797646</v>
      </c>
      <c r="Q54" s="33">
        <f t="shared" si="7"/>
        <v>2592.3267758360998</v>
      </c>
      <c r="R54" s="30">
        <v>40304.937815200501</v>
      </c>
      <c r="S54" s="25">
        <f t="shared" si="9"/>
        <v>0.81660147727578192</v>
      </c>
    </row>
    <row r="55" spans="3:20" ht="16.5" thickTop="1" thickBot="1" x14ac:dyDescent="0.3">
      <c r="C55" s="3" t="s">
        <v>15</v>
      </c>
      <c r="D55" s="8">
        <f t="shared" si="0"/>
        <v>894.94756249999898</v>
      </c>
      <c r="E55" s="8">
        <f t="shared" si="1"/>
        <v>1187.6749032258001</v>
      </c>
      <c r="F55" s="8">
        <f t="shared" si="2"/>
        <v>1388.6485234899301</v>
      </c>
      <c r="G55" s="8">
        <f t="shared" si="3"/>
        <v>1670.27985401459</v>
      </c>
      <c r="H55" s="8">
        <v>31088.431374999898</v>
      </c>
      <c r="I55" s="44">
        <f t="shared" si="8"/>
        <v>0.29327037362295499</v>
      </c>
      <c r="M55" s="3" t="s">
        <v>15</v>
      </c>
      <c r="N55" s="21">
        <f t="shared" si="4"/>
        <v>74.317125000000004</v>
      </c>
      <c r="O55" s="21">
        <f t="shared" si="5"/>
        <v>198.939483870967</v>
      </c>
      <c r="P55" s="21">
        <f t="shared" si="6"/>
        <v>212.12838926174399</v>
      </c>
      <c r="Q55" s="21">
        <f t="shared" si="7"/>
        <v>279.86248175182402</v>
      </c>
      <c r="R55" s="22">
        <v>4861.7761874999997</v>
      </c>
      <c r="S55" s="44">
        <f t="shared" si="9"/>
        <v>9.8502412659707245E-2</v>
      </c>
    </row>
    <row r="56" spans="3:20" ht="16.5" thickTop="1" thickBot="1" x14ac:dyDescent="0.3">
      <c r="C56" s="19" t="s">
        <v>11</v>
      </c>
      <c r="D56" s="10">
        <f t="shared" si="0"/>
        <v>1135.1867024752701</v>
      </c>
      <c r="E56" s="10">
        <f t="shared" si="1"/>
        <v>2432.3101615072901</v>
      </c>
      <c r="F56" s="10">
        <f t="shared" si="2"/>
        <v>2925.4426656969399</v>
      </c>
      <c r="G56" s="10">
        <f t="shared" si="3"/>
        <v>2626.4641517249602</v>
      </c>
      <c r="H56" s="10">
        <v>55738.197920426799</v>
      </c>
      <c r="I56" s="34">
        <f t="shared" si="8"/>
        <v>0.52580208798630101</v>
      </c>
      <c r="J56" s="29"/>
      <c r="K56" s="1"/>
      <c r="L56" s="1"/>
      <c r="M56" s="19" t="s">
        <v>11</v>
      </c>
      <c r="N56" s="33">
        <f t="shared" si="4"/>
        <v>197.40016126361101</v>
      </c>
      <c r="O56" s="33">
        <f t="shared" si="5"/>
        <v>300.16807766903497</v>
      </c>
      <c r="P56" s="33">
        <f t="shared" si="6"/>
        <v>356.18354907292797</v>
      </c>
      <c r="Q56" s="33">
        <f t="shared" si="7"/>
        <v>503.736646974454</v>
      </c>
      <c r="R56" s="33">
        <v>7625.4893168179296</v>
      </c>
      <c r="S56" s="25">
        <f t="shared" si="9"/>
        <v>0.15449684774642639</v>
      </c>
      <c r="T56" s="36"/>
    </row>
    <row r="57" spans="3:20" ht="16.5" thickTop="1" thickBot="1" x14ac:dyDescent="0.3">
      <c r="C57" s="19" t="s">
        <v>18</v>
      </c>
      <c r="D57" s="10">
        <f t="shared" si="0"/>
        <v>245.12723050003299</v>
      </c>
      <c r="E57" s="10">
        <f t="shared" si="1"/>
        <v>1661.9743065800999</v>
      </c>
      <c r="F57" s="10">
        <f t="shared" si="2"/>
        <v>3226.6582805506</v>
      </c>
      <c r="G57" s="10">
        <f t="shared" si="3"/>
        <v>5729.4489033087802</v>
      </c>
      <c r="H57" s="10">
        <v>68197.225565000495</v>
      </c>
      <c r="I57" s="4">
        <f t="shared" si="8"/>
        <v>0.64333338598678969</v>
      </c>
      <c r="J57" s="29"/>
      <c r="K57" s="1"/>
      <c r="L57" s="1"/>
      <c r="M57" s="19" t="s">
        <v>18</v>
      </c>
      <c r="N57" s="33">
        <f t="shared" si="4"/>
        <v>120.047617984068</v>
      </c>
      <c r="O57" s="33">
        <f t="shared" si="5"/>
        <v>522.24740988971701</v>
      </c>
      <c r="P57" s="33">
        <f t="shared" si="6"/>
        <v>1960.7711353449399</v>
      </c>
      <c r="Q57" s="33">
        <f t="shared" si="7"/>
        <v>4570.2958804599202</v>
      </c>
      <c r="R57" s="33">
        <v>41204.940337276501</v>
      </c>
      <c r="S57" s="25">
        <f t="shared" si="9"/>
        <v>0.83483605172045505</v>
      </c>
      <c r="T57" s="36"/>
    </row>
    <row r="58" spans="3:20" ht="16.5" thickTop="1" thickBot="1" x14ac:dyDescent="0.3">
      <c r="C58" s="3" t="s">
        <v>29</v>
      </c>
      <c r="D58" s="8">
        <f t="shared" si="0"/>
        <v>992.494818409343</v>
      </c>
      <c r="E58" s="8">
        <f t="shared" si="1"/>
        <v>1710.7717727179199</v>
      </c>
      <c r="F58" s="8">
        <f t="shared" si="2"/>
        <v>1959.97576102433</v>
      </c>
      <c r="G58" s="8">
        <f t="shared" si="3"/>
        <v>2221.8853225104499</v>
      </c>
      <c r="H58" s="8">
        <v>43491.800763357802</v>
      </c>
      <c r="I58" s="41">
        <f t="shared" si="8"/>
        <v>0.41027662365950113</v>
      </c>
      <c r="J58" s="29"/>
      <c r="K58" s="1"/>
      <c r="L58" s="1"/>
      <c r="M58" s="3" t="s">
        <v>29</v>
      </c>
      <c r="N58" s="21">
        <f t="shared" si="4"/>
        <v>201.37868554148</v>
      </c>
      <c r="O58" s="21">
        <f t="shared" si="5"/>
        <v>48.704276227488698</v>
      </c>
      <c r="P58" s="21">
        <f t="shared" si="6"/>
        <v>199.372601819821</v>
      </c>
      <c r="Q58" s="21">
        <f t="shared" si="7"/>
        <v>160.967955314048</v>
      </c>
      <c r="R58" s="21">
        <v>3374.2521540156599</v>
      </c>
      <c r="S58" s="41">
        <f t="shared" si="9"/>
        <v>6.8364310752788343E-2</v>
      </c>
      <c r="T58" s="6"/>
    </row>
    <row r="59" spans="3:20" ht="15.75" thickTop="1" x14ac:dyDescent="0.25">
      <c r="C59" s="42" t="s">
        <v>25</v>
      </c>
      <c r="D59" s="14">
        <f t="shared" si="0"/>
        <v>2172.1211874999999</v>
      </c>
      <c r="E59" s="14">
        <f t="shared" si="1"/>
        <v>2562.9893548387099</v>
      </c>
      <c r="F59" s="14">
        <f t="shared" si="2"/>
        <v>2732.2640268456298</v>
      </c>
      <c r="G59" s="14">
        <f t="shared" si="3"/>
        <v>3403.0878102189699</v>
      </c>
      <c r="H59" s="14">
        <v>65346.636249999901</v>
      </c>
      <c r="I59" s="4">
        <f t="shared" si="8"/>
        <v>0.61644256658931751</v>
      </c>
      <c r="M59" s="42" t="s">
        <v>25</v>
      </c>
      <c r="N59" s="31">
        <f t="shared" ref="N59" si="10">D38</f>
        <v>81.4134999999999</v>
      </c>
      <c r="O59" s="31">
        <f t="shared" ref="O59" si="11">I38</f>
        <v>91.442064516128895</v>
      </c>
      <c r="P59" s="31">
        <f t="shared" ref="P59" si="12">O38</f>
        <v>84.489731543624103</v>
      </c>
      <c r="Q59" s="31">
        <f t="shared" ref="Q59" si="13">AA38</f>
        <v>215.00824817518199</v>
      </c>
      <c r="R59" s="31">
        <v>3617.5491874999898</v>
      </c>
      <c r="S59" s="4">
        <f t="shared" si="9"/>
        <v>7.3293650127310109E-2</v>
      </c>
      <c r="T59" s="6"/>
    </row>
    <row r="60" spans="3:20" x14ac:dyDescent="0.25">
      <c r="C60" s="5"/>
    </row>
    <row r="61" spans="3:20" x14ac:dyDescent="0.25">
      <c r="C61" s="5"/>
      <c r="D61" s="47">
        <f>D44/1000</f>
        <v>1.249205940625</v>
      </c>
      <c r="E61" s="47">
        <f t="shared" ref="E61:H61" si="14">E44/1000</f>
        <v>3.6851108225806404</v>
      </c>
      <c r="F61" s="47">
        <f t="shared" si="14"/>
        <v>5.1799078489932802</v>
      </c>
      <c r="G61" s="47">
        <f t="shared" si="14"/>
        <v>6.5588715182481705</v>
      </c>
      <c r="H61" s="47">
        <f t="shared" si="14"/>
        <v>106.006041424999</v>
      </c>
      <c r="I61" s="26" t="s">
        <v>19</v>
      </c>
      <c r="N61" s="47">
        <f>N44/1000</f>
        <v>0.54108964062499998</v>
      </c>
      <c r="O61" s="47">
        <f t="shared" ref="O61:R61" si="15">O44/1000</f>
        <v>1.6791549193548301</v>
      </c>
      <c r="P61" s="47">
        <f t="shared" si="15"/>
        <v>2.3357176040268399</v>
      </c>
      <c r="Q61" s="47">
        <f t="shared" si="15"/>
        <v>3.2055231532846702</v>
      </c>
      <c r="R61" s="47">
        <f t="shared" si="15"/>
        <v>49.356924934374995</v>
      </c>
      <c r="S61" s="26" t="s">
        <v>19</v>
      </c>
    </row>
    <row r="62" spans="3:20" x14ac:dyDescent="0.25">
      <c r="C62" s="5"/>
      <c r="D62" s="47">
        <f t="shared" ref="D62:H62" si="16">D45/1000</f>
        <v>2.5789052174239102</v>
      </c>
      <c r="E62" s="47">
        <f t="shared" si="16"/>
        <v>4.3534675812223007</v>
      </c>
      <c r="F62" s="47">
        <f t="shared" si="16"/>
        <v>4.33482476975911</v>
      </c>
      <c r="G62" s="47">
        <f t="shared" si="16"/>
        <v>5.1684056051926399</v>
      </c>
      <c r="H62" s="47">
        <f t="shared" si="16"/>
        <v>96.744250164352508</v>
      </c>
      <c r="I62" s="46">
        <f>I45</f>
        <v>0.91262959038802172</v>
      </c>
      <c r="N62" s="47">
        <f t="shared" ref="N62:R62" si="17">N45/1000</f>
        <v>0.56425483567328905</v>
      </c>
      <c r="O62" s="47">
        <f t="shared" si="17"/>
        <v>1.4405721027924501</v>
      </c>
      <c r="P62" s="47">
        <f t="shared" si="17"/>
        <v>1.3531663138864898</v>
      </c>
      <c r="Q62" s="47">
        <f t="shared" si="17"/>
        <v>1.4655164456051699</v>
      </c>
      <c r="R62" s="47">
        <f t="shared" si="17"/>
        <v>30.451144914082299</v>
      </c>
      <c r="S62" s="46">
        <f>S45</f>
        <v>0.61695790316293331</v>
      </c>
    </row>
    <row r="63" spans="3:20" x14ac:dyDescent="0.25">
      <c r="C63" s="5"/>
      <c r="D63" s="47">
        <f t="shared" ref="D63:H63" si="18">D46/1000</f>
        <v>2.6150440461725699</v>
      </c>
      <c r="E63" s="47">
        <f t="shared" si="18"/>
        <v>6.4665237207743704</v>
      </c>
      <c r="F63" s="47">
        <f t="shared" si="18"/>
        <v>6.5476597086866999</v>
      </c>
      <c r="G63" s="47">
        <f t="shared" si="18"/>
        <v>7.0847421090808202</v>
      </c>
      <c r="H63" s="47">
        <f t="shared" si="18"/>
        <v>140.04798253654999</v>
      </c>
      <c r="I63" s="46">
        <f t="shared" ref="I63:I76" si="19">I46</f>
        <v>1.3211320850579655</v>
      </c>
      <c r="J63" s="40"/>
      <c r="K63" s="40"/>
      <c r="L63" s="40"/>
      <c r="M63" s="40"/>
      <c r="N63" s="47">
        <f t="shared" ref="N63:R63" si="20">N46/1000</f>
        <v>0.51108079299679898</v>
      </c>
      <c r="O63" s="47">
        <f t="shared" si="20"/>
        <v>1.2681589361182299</v>
      </c>
      <c r="P63" s="47">
        <f t="shared" si="20"/>
        <v>1.5412965642871599</v>
      </c>
      <c r="Q63" s="47">
        <f t="shared" si="20"/>
        <v>2.0675476887483599</v>
      </c>
      <c r="R63" s="47">
        <f t="shared" si="20"/>
        <v>34.224793331454201</v>
      </c>
      <c r="S63" s="46">
        <f t="shared" ref="S63:S76" si="21">S46</f>
        <v>0.69341421445844753</v>
      </c>
    </row>
    <row r="64" spans="3:20" x14ac:dyDescent="0.25">
      <c r="D64" s="47">
        <f t="shared" ref="D64:H64" si="22">D47/1000</f>
        <v>2.4382287418782096</v>
      </c>
      <c r="E64" s="47">
        <f t="shared" si="22"/>
        <v>6.65428628697825</v>
      </c>
      <c r="F64" s="47">
        <f t="shared" si="22"/>
        <v>7.5721662151017703</v>
      </c>
      <c r="G64" s="47">
        <f t="shared" si="22"/>
        <v>8.5019318706663203</v>
      </c>
      <c r="H64" s="47">
        <f t="shared" si="22"/>
        <v>155.46917562198499</v>
      </c>
      <c r="I64" s="46">
        <f t="shared" si="19"/>
        <v>1.4666067474275224</v>
      </c>
      <c r="N64" s="47">
        <f t="shared" ref="N64:R64" si="23">N47/1000</f>
        <v>0.42160176321871701</v>
      </c>
      <c r="O64" s="47">
        <f t="shared" si="23"/>
        <v>1.3041948706739699</v>
      </c>
      <c r="P64" s="47">
        <f t="shared" si="23"/>
        <v>1.6529166712191499</v>
      </c>
      <c r="Q64" s="47">
        <f t="shared" si="23"/>
        <v>2.3904784113055197</v>
      </c>
      <c r="R64" s="47">
        <f t="shared" si="23"/>
        <v>36.417181454803703</v>
      </c>
      <c r="S64" s="46">
        <f t="shared" si="21"/>
        <v>0.73783327270132837</v>
      </c>
    </row>
    <row r="65" spans="4:19" x14ac:dyDescent="0.25">
      <c r="D65" s="47">
        <f t="shared" ref="D65:H65" si="24">D48/1000</f>
        <v>1.3377917388096401</v>
      </c>
      <c r="E65" s="47">
        <f t="shared" si="24"/>
        <v>5.1689662780031806</v>
      </c>
      <c r="F65" s="47">
        <f t="shared" si="24"/>
        <v>5.9378060121013698</v>
      </c>
      <c r="G65" s="47">
        <f t="shared" si="24"/>
        <v>7.2710736442066404</v>
      </c>
      <c r="H65" s="47">
        <f t="shared" si="24"/>
        <v>123.98049644707001</v>
      </c>
      <c r="I65" s="46">
        <f t="shared" si="19"/>
        <v>1.1695606663587022</v>
      </c>
      <c r="J65" s="37"/>
      <c r="K65" s="37"/>
      <c r="L65" s="37"/>
      <c r="M65" s="37"/>
      <c r="N65" s="47">
        <f t="shared" ref="N65:R65" si="25">N48/1000</f>
        <v>0.29443268001612499</v>
      </c>
      <c r="O65" s="47">
        <f t="shared" si="25"/>
        <v>1.2738759362971099</v>
      </c>
      <c r="P65" s="47">
        <f t="shared" si="25"/>
        <v>1.5825138498091902</v>
      </c>
      <c r="Q65" s="47">
        <f t="shared" si="25"/>
        <v>2.3123890244015803</v>
      </c>
      <c r="R65" s="47">
        <f t="shared" si="25"/>
        <v>34.681312533720302</v>
      </c>
      <c r="S65" s="46">
        <f t="shared" si="21"/>
        <v>0.70266355896021881</v>
      </c>
    </row>
    <row r="66" spans="4:19" x14ac:dyDescent="0.25">
      <c r="D66" s="47">
        <f t="shared" ref="D66:H66" si="26">D49/1000</f>
        <v>1.16714089605811</v>
      </c>
      <c r="E66" s="47">
        <f t="shared" si="26"/>
        <v>5.1836880382744503</v>
      </c>
      <c r="F66" s="47">
        <f t="shared" si="26"/>
        <v>5.4614350245976304</v>
      </c>
      <c r="G66" s="47">
        <f t="shared" si="26"/>
        <v>6.5965540598275503</v>
      </c>
      <c r="H66" s="47">
        <f t="shared" si="26"/>
        <v>115.331905483992</v>
      </c>
      <c r="I66" s="46">
        <f t="shared" si="19"/>
        <v>1.0879748355247394</v>
      </c>
      <c r="N66" s="47">
        <f t="shared" ref="N66:R66" si="27">N49/1000</f>
        <v>0.39141060241952497</v>
      </c>
      <c r="O66" s="47">
        <f t="shared" si="27"/>
        <v>1.3903739938302999</v>
      </c>
      <c r="P66" s="47">
        <f t="shared" si="27"/>
        <v>1.7026152679327999</v>
      </c>
      <c r="Q66" s="47">
        <f t="shared" si="27"/>
        <v>2.4401867518121199</v>
      </c>
      <c r="R66" s="47">
        <f t="shared" si="27"/>
        <v>37.749151753944304</v>
      </c>
      <c r="S66" s="46">
        <f t="shared" si="21"/>
        <v>0.7648197654966471</v>
      </c>
    </row>
    <row r="67" spans="4:19" x14ac:dyDescent="0.25">
      <c r="D67" s="47">
        <f t="shared" ref="D67:H67" si="28">D50/1000</f>
        <v>0.91503838316560204</v>
      </c>
      <c r="E67" s="47">
        <f t="shared" si="28"/>
        <v>4.3666682531652103</v>
      </c>
      <c r="F67" s="47">
        <f t="shared" si="28"/>
        <v>4.6091066658154798</v>
      </c>
      <c r="G67" s="47">
        <f t="shared" si="28"/>
        <v>5.8704863032824592</v>
      </c>
      <c r="H67" s="47">
        <f t="shared" si="28"/>
        <v>99.094641053906003</v>
      </c>
      <c r="I67" s="46">
        <f t="shared" si="19"/>
        <v>0.93480182564893788</v>
      </c>
      <c r="N67" s="47">
        <f t="shared" ref="N67:R67" si="29">N50/1000</f>
        <v>0.49308262533826502</v>
      </c>
      <c r="O67" s="47">
        <f t="shared" si="29"/>
        <v>1.73029439810487</v>
      </c>
      <c r="P67" s="47">
        <f t="shared" si="29"/>
        <v>2.0261876237960599</v>
      </c>
      <c r="Q67" s="47">
        <f t="shared" si="29"/>
        <v>2.83476427373424</v>
      </c>
      <c r="R67" s="47">
        <f t="shared" si="29"/>
        <v>45.155903306840806</v>
      </c>
      <c r="S67" s="46">
        <f t="shared" si="21"/>
        <v>0.9148848589510008</v>
      </c>
    </row>
    <row r="68" spans="4:19" x14ac:dyDescent="0.25">
      <c r="D68" s="47">
        <f t="shared" ref="D68:H68" si="30">D51/1000</f>
        <v>0.97087441421446208</v>
      </c>
      <c r="E68" s="47">
        <f t="shared" si="30"/>
        <v>4.3917675479611598</v>
      </c>
      <c r="F68" s="47">
        <f t="shared" si="30"/>
        <v>4.6240504948536101</v>
      </c>
      <c r="G68" s="47">
        <f t="shared" si="30"/>
        <v>5.8320488156282302</v>
      </c>
      <c r="H68" s="47">
        <f t="shared" si="30"/>
        <v>99.673901633787494</v>
      </c>
      <c r="I68" s="46">
        <f t="shared" si="19"/>
        <v>0.94026623665886444</v>
      </c>
      <c r="N68" s="47">
        <f t="shared" ref="N68:R68" si="31">N51/1000</f>
        <v>0.43951980972488297</v>
      </c>
      <c r="O68" s="47">
        <f t="shared" si="31"/>
        <v>1.7187587613087001</v>
      </c>
      <c r="P68" s="47">
        <f t="shared" si="31"/>
        <v>2.0937356609070998</v>
      </c>
      <c r="Q68" s="47">
        <f t="shared" si="31"/>
        <v>2.9305045200378501</v>
      </c>
      <c r="R68" s="47">
        <f t="shared" si="31"/>
        <v>45.965452354090701</v>
      </c>
      <c r="S68" s="46">
        <f t="shared" si="21"/>
        <v>0.93128679339740883</v>
      </c>
    </row>
    <row r="69" spans="4:19" x14ac:dyDescent="0.25">
      <c r="D69" s="47">
        <f t="shared" ref="D69:H69" si="32">D52/1000</f>
        <v>1.06128225533037</v>
      </c>
      <c r="E69" s="47">
        <f t="shared" si="32"/>
        <v>4.6157676286236597</v>
      </c>
      <c r="F69" s="47">
        <f t="shared" si="32"/>
        <v>4.7821250162099602</v>
      </c>
      <c r="G69" s="47">
        <f t="shared" si="32"/>
        <v>5.9004016630451899</v>
      </c>
      <c r="H69" s="47">
        <f t="shared" si="32"/>
        <v>102.93555904900499</v>
      </c>
      <c r="I69" s="46">
        <f t="shared" si="19"/>
        <v>0.97103483598935803</v>
      </c>
      <c r="N69" s="47">
        <f t="shared" ref="N69:R69" si="33">N52/1000</f>
        <v>0.47027442161319599</v>
      </c>
      <c r="O69" s="47">
        <f t="shared" si="33"/>
        <v>1.8321652400542201</v>
      </c>
      <c r="P69" s="47">
        <f t="shared" si="33"/>
        <v>2.1688335871790301</v>
      </c>
      <c r="Q69" s="47">
        <f t="shared" si="33"/>
        <v>3.00717771592962</v>
      </c>
      <c r="R69" s="47">
        <f t="shared" si="33"/>
        <v>47.948550523907599</v>
      </c>
      <c r="S69" s="46">
        <f t="shared" si="21"/>
        <v>0.97146551548055371</v>
      </c>
    </row>
    <row r="70" spans="4:19" x14ac:dyDescent="0.25">
      <c r="D70" s="47">
        <f t="shared" ref="D70:H70" si="34">D53/1000</f>
        <v>1.0551357417818499</v>
      </c>
      <c r="E70" s="47">
        <f t="shared" si="34"/>
        <v>4.5617929088786697</v>
      </c>
      <c r="F70" s="47">
        <f t="shared" si="34"/>
        <v>4.7074160178441398</v>
      </c>
      <c r="G70" s="47">
        <f t="shared" si="34"/>
        <v>5.8581942882764295</v>
      </c>
      <c r="H70" s="47">
        <f t="shared" si="34"/>
        <v>101.8590911921</v>
      </c>
      <c r="I70" s="46">
        <f t="shared" si="19"/>
        <v>0.96088005761602713</v>
      </c>
      <c r="N70" s="47">
        <f t="shared" ref="N70:R70" si="35">N53/1000</f>
        <v>0.45638749007450297</v>
      </c>
      <c r="O70" s="47">
        <f t="shared" si="35"/>
        <v>1.77333152934732</v>
      </c>
      <c r="P70" s="47">
        <f t="shared" si="35"/>
        <v>2.07397452922371</v>
      </c>
      <c r="Q70" s="47">
        <f t="shared" si="35"/>
        <v>2.9138313452988398</v>
      </c>
      <c r="R70" s="47">
        <f t="shared" si="35"/>
        <v>46.349997279408598</v>
      </c>
      <c r="S70" s="46">
        <f t="shared" si="21"/>
        <v>0.93907789719549162</v>
      </c>
    </row>
    <row r="71" spans="4:19" x14ac:dyDescent="0.25">
      <c r="D71" s="47">
        <f t="shared" ref="D71:H71" si="36">D54/1000</f>
        <v>0.88102876407294395</v>
      </c>
      <c r="E71" s="47">
        <f t="shared" si="36"/>
        <v>4.0918673325821002</v>
      </c>
      <c r="F71" s="47">
        <f t="shared" si="36"/>
        <v>4.3254383383414297</v>
      </c>
      <c r="G71" s="47">
        <f t="shared" si="36"/>
        <v>5.6298265113278703</v>
      </c>
      <c r="H71" s="47">
        <f t="shared" si="36"/>
        <v>94.467140324575197</v>
      </c>
      <c r="I71" s="46">
        <f t="shared" si="19"/>
        <v>0.89114864638551983</v>
      </c>
      <c r="N71" s="47">
        <f t="shared" ref="N71:R71" si="37">N54/1000</f>
        <v>0.38672632674872803</v>
      </c>
      <c r="O71" s="47">
        <f t="shared" si="37"/>
        <v>1.51611235028392</v>
      </c>
      <c r="P71" s="47">
        <f t="shared" si="37"/>
        <v>1.74316920797646</v>
      </c>
      <c r="Q71" s="47">
        <f t="shared" si="37"/>
        <v>2.5923267758360997</v>
      </c>
      <c r="R71" s="47">
        <f t="shared" si="37"/>
        <v>40.304937815200503</v>
      </c>
      <c r="S71" s="46">
        <f t="shared" si="21"/>
        <v>0.81660147727578192</v>
      </c>
    </row>
    <row r="72" spans="4:19" x14ac:dyDescent="0.25">
      <c r="D72" s="47">
        <f t="shared" ref="D72:H72" si="38">D55/1000</f>
        <v>0.89494756249999896</v>
      </c>
      <c r="E72" s="47">
        <f t="shared" si="38"/>
        <v>1.1876749032258</v>
      </c>
      <c r="F72" s="47">
        <f t="shared" si="38"/>
        <v>1.3886485234899302</v>
      </c>
      <c r="G72" s="47">
        <f t="shared" si="38"/>
        <v>1.67027985401459</v>
      </c>
      <c r="H72" s="47">
        <f t="shared" si="38"/>
        <v>31.0884313749999</v>
      </c>
      <c r="I72" s="46">
        <f t="shared" si="19"/>
        <v>0.29327037362295499</v>
      </c>
      <c r="N72" s="47">
        <f t="shared" ref="N72:R72" si="39">N55/1000</f>
        <v>7.4317124999999998E-2</v>
      </c>
      <c r="O72" s="47">
        <f t="shared" si="39"/>
        <v>0.19893948387096699</v>
      </c>
      <c r="P72" s="47">
        <f t="shared" si="39"/>
        <v>0.21212838926174399</v>
      </c>
      <c r="Q72" s="47">
        <f t="shared" si="39"/>
        <v>0.27986248175182404</v>
      </c>
      <c r="R72" s="47">
        <f t="shared" si="39"/>
        <v>4.8617761874999994</v>
      </c>
      <c r="S72" s="46">
        <f t="shared" si="21"/>
        <v>9.8502412659707245E-2</v>
      </c>
    </row>
    <row r="73" spans="4:19" x14ac:dyDescent="0.25">
      <c r="D73" s="47">
        <f t="shared" ref="D73:H73" si="40">D56/1000</f>
        <v>1.13518670247527</v>
      </c>
      <c r="E73" s="47">
        <f t="shared" si="40"/>
        <v>2.43231016150729</v>
      </c>
      <c r="F73" s="47">
        <f t="shared" si="40"/>
        <v>2.9254426656969401</v>
      </c>
      <c r="G73" s="47">
        <f t="shared" si="40"/>
        <v>2.6264641517249601</v>
      </c>
      <c r="H73" s="47">
        <f t="shared" si="40"/>
        <v>55.738197920426799</v>
      </c>
      <c r="I73" s="46">
        <f t="shared" si="19"/>
        <v>0.52580208798630101</v>
      </c>
      <c r="N73" s="47">
        <f t="shared" ref="N73:R73" si="41">N56/1000</f>
        <v>0.19740016126361101</v>
      </c>
      <c r="O73" s="47">
        <f t="shared" si="41"/>
        <v>0.30016807766903497</v>
      </c>
      <c r="P73" s="47">
        <f t="shared" si="41"/>
        <v>0.35618354907292799</v>
      </c>
      <c r="Q73" s="47">
        <f t="shared" si="41"/>
        <v>0.50373664697445397</v>
      </c>
      <c r="R73" s="47">
        <f t="shared" si="41"/>
        <v>7.6254893168179301</v>
      </c>
      <c r="S73" s="46">
        <f t="shared" si="21"/>
        <v>0.15449684774642639</v>
      </c>
    </row>
    <row r="74" spans="4:19" x14ac:dyDescent="0.25">
      <c r="D74" s="47">
        <f t="shared" ref="D74:H74" si="42">D57/1000</f>
        <v>0.24512723050003299</v>
      </c>
      <c r="E74" s="47">
        <f t="shared" si="42"/>
        <v>1.6619743065800998</v>
      </c>
      <c r="F74" s="47">
        <f t="shared" si="42"/>
        <v>3.2266582805506001</v>
      </c>
      <c r="G74" s="47">
        <f t="shared" si="42"/>
        <v>5.7294489033087803</v>
      </c>
      <c r="H74" s="47">
        <f t="shared" si="42"/>
        <v>68.197225565000494</v>
      </c>
      <c r="I74" s="46">
        <f t="shared" si="19"/>
        <v>0.64333338598678969</v>
      </c>
      <c r="N74" s="47">
        <f t="shared" ref="N74:R74" si="43">N57/1000</f>
        <v>0.120047617984068</v>
      </c>
      <c r="O74" s="47">
        <f t="shared" si="43"/>
        <v>0.52224740988971696</v>
      </c>
      <c r="P74" s="47">
        <f t="shared" si="43"/>
        <v>1.96077113534494</v>
      </c>
      <c r="Q74" s="47">
        <f t="shared" si="43"/>
        <v>4.5702958804599199</v>
      </c>
      <c r="R74" s="47">
        <f t="shared" si="43"/>
        <v>41.204940337276504</v>
      </c>
      <c r="S74" s="46">
        <f t="shared" si="21"/>
        <v>0.83483605172045505</v>
      </c>
    </row>
    <row r="75" spans="4:19" x14ac:dyDescent="0.25">
      <c r="D75" s="47">
        <f t="shared" ref="D75:H76" si="44">D58/1000</f>
        <v>0.99249481840934295</v>
      </c>
      <c r="E75" s="47">
        <f t="shared" si="44"/>
        <v>1.7107717727179199</v>
      </c>
      <c r="F75" s="47">
        <f t="shared" si="44"/>
        <v>1.95997576102433</v>
      </c>
      <c r="G75" s="47">
        <f t="shared" si="44"/>
        <v>2.2218853225104498</v>
      </c>
      <c r="H75" s="47">
        <f t="shared" si="44"/>
        <v>43.491800763357801</v>
      </c>
      <c r="I75" s="46">
        <f t="shared" si="19"/>
        <v>0.41027662365950113</v>
      </c>
      <c r="N75" s="47">
        <f t="shared" ref="N75:R75" si="45">N58/1000</f>
        <v>0.20137868554148</v>
      </c>
      <c r="O75" s="47">
        <f t="shared" si="45"/>
        <v>4.8704276227488699E-2</v>
      </c>
      <c r="P75" s="47">
        <f t="shared" si="45"/>
        <v>0.199372601819821</v>
      </c>
      <c r="Q75" s="47">
        <f t="shared" si="45"/>
        <v>0.16096795531404801</v>
      </c>
      <c r="R75" s="47">
        <f t="shared" si="45"/>
        <v>3.37425215401566</v>
      </c>
      <c r="S75" s="46">
        <f t="shared" si="21"/>
        <v>6.8364310752788343E-2</v>
      </c>
    </row>
    <row r="76" spans="4:19" x14ac:dyDescent="0.25">
      <c r="D76" s="47">
        <f t="shared" si="44"/>
        <v>2.1721211874999997</v>
      </c>
      <c r="E76" s="47">
        <f t="shared" si="44"/>
        <v>2.5629893548387099</v>
      </c>
      <c r="F76" s="47">
        <f t="shared" si="44"/>
        <v>2.73226402684563</v>
      </c>
      <c r="G76" s="47">
        <f t="shared" si="44"/>
        <v>3.4030878102189699</v>
      </c>
      <c r="H76" s="47">
        <f t="shared" si="44"/>
        <v>65.346636249999904</v>
      </c>
      <c r="I76" s="46">
        <f t="shared" si="19"/>
        <v>0.61644256658931751</v>
      </c>
      <c r="N76" s="47">
        <f t="shared" ref="N76:R76" si="46">N59/1000</f>
        <v>8.1413499999999903E-2</v>
      </c>
      <c r="O76" s="47">
        <f t="shared" si="46"/>
        <v>9.1442064516128893E-2</v>
      </c>
      <c r="P76" s="47">
        <f t="shared" si="46"/>
        <v>8.4489731543624103E-2</v>
      </c>
      <c r="Q76" s="47">
        <f t="shared" si="46"/>
        <v>0.21500824817518199</v>
      </c>
      <c r="R76" s="47">
        <f t="shared" si="46"/>
        <v>3.6175491874999897</v>
      </c>
      <c r="S76" s="46">
        <f t="shared" si="21"/>
        <v>7.3293650127310109E-2</v>
      </c>
    </row>
    <row r="77" spans="4:19" x14ac:dyDescent="0.25">
      <c r="D77" s="45"/>
      <c r="E77" s="45"/>
      <c r="F77" s="45"/>
      <c r="G77" s="45"/>
      <c r="H77" s="45"/>
      <c r="I77" s="45"/>
      <c r="N77" s="39"/>
      <c r="O77" s="39"/>
      <c r="P77" s="39"/>
      <c r="Q77" s="39"/>
      <c r="R77" s="39"/>
      <c r="S77" s="38"/>
    </row>
    <row r="78" spans="4:19" x14ac:dyDescent="0.25">
      <c r="D78" s="45"/>
      <c r="E78" s="45"/>
      <c r="F78" s="45"/>
      <c r="G78" s="45"/>
      <c r="H78" s="45"/>
      <c r="I78" s="45"/>
      <c r="N78" s="39"/>
      <c r="O78" s="39"/>
      <c r="P78" s="39"/>
      <c r="Q78" s="39"/>
      <c r="R78" s="39"/>
      <c r="S78" s="38"/>
    </row>
    <row r="79" spans="4:19" x14ac:dyDescent="0.25">
      <c r="D79" s="45"/>
      <c r="E79" s="45"/>
      <c r="F79" s="45"/>
      <c r="G79" s="45"/>
      <c r="H79" s="45"/>
      <c r="I79" s="45"/>
      <c r="N79" s="39"/>
      <c r="O79" s="39"/>
      <c r="P79" s="39"/>
      <c r="Q79" s="39"/>
      <c r="R79" s="39"/>
      <c r="S79" s="38"/>
    </row>
    <row r="80" spans="4:19" x14ac:dyDescent="0.25">
      <c r="D80" s="37"/>
      <c r="E80" s="37"/>
      <c r="F80" s="37"/>
      <c r="G80" s="37"/>
      <c r="H80" s="37"/>
      <c r="I80" s="38"/>
      <c r="N80" s="39"/>
      <c r="O80" s="39"/>
      <c r="P80" s="39"/>
      <c r="Q80" s="39"/>
      <c r="R80" s="39"/>
      <c r="S80" s="38"/>
    </row>
  </sheetData>
  <mergeCells count="8">
    <mergeCell ref="B5:B16"/>
    <mergeCell ref="B23:B33"/>
    <mergeCell ref="D42:H42"/>
    <mergeCell ref="H43:I43"/>
    <mergeCell ref="R43:S43"/>
    <mergeCell ref="N42:R42"/>
    <mergeCell ref="D3:G3"/>
    <mergeCell ref="H3:K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BBB73-968C-4625-9862-1736F8DAAD0C}">
  <sheetPr codeName="Planilha4"/>
  <dimension ref="A1:AB80"/>
  <sheetViews>
    <sheetView showGridLines="0" workbookViewId="0">
      <selection activeCell="S57" sqref="S57"/>
    </sheetView>
  </sheetViews>
  <sheetFormatPr defaultRowHeight="15" x14ac:dyDescent="0.25"/>
  <cols>
    <col min="3" max="3" width="23.85546875" customWidth="1"/>
    <col min="4" max="7" width="13.5703125" bestFit="1" customWidth="1"/>
    <col min="8" max="8" width="11.140625" style="7" customWidth="1"/>
    <col min="9" max="12" width="12.85546875" bestFit="1" customWidth="1"/>
    <col min="13" max="13" width="21.7109375" bestFit="1" customWidth="1"/>
    <col min="14" max="15" width="13.5703125" bestFit="1" customWidth="1"/>
    <col min="16" max="16" width="13" bestFit="1" customWidth="1"/>
    <col min="17" max="17" width="13.5703125" bestFit="1" customWidth="1"/>
    <col min="18" max="18" width="12.85546875" bestFit="1" customWidth="1"/>
    <col min="19" max="19" width="12.5703125" bestFit="1" customWidth="1"/>
    <col min="20" max="20" width="12.85546875" bestFit="1" customWidth="1"/>
    <col min="21" max="22" width="12.5703125" bestFit="1" customWidth="1"/>
    <col min="23" max="23" width="12.85546875" bestFit="1" customWidth="1"/>
    <col min="24" max="27" width="12.5703125" bestFit="1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8.75" x14ac:dyDescent="0.25">
      <c r="A2" s="1"/>
      <c r="B2" s="1"/>
      <c r="C2" s="13"/>
      <c r="H2"/>
      <c r="AB2" s="1"/>
    </row>
    <row r="3" spans="1:28" x14ac:dyDescent="0.25">
      <c r="A3" s="1"/>
      <c r="B3" s="1"/>
      <c r="C3" s="1"/>
      <c r="D3" s="51"/>
      <c r="E3" s="51"/>
      <c r="F3" s="51"/>
      <c r="G3" s="51"/>
      <c r="H3" s="51"/>
      <c r="I3" s="51"/>
      <c r="J3" s="51"/>
      <c r="K3" s="5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15.75" thickBot="1" x14ac:dyDescent="0.3">
      <c r="A4" s="1"/>
      <c r="B4" s="1"/>
      <c r="C4" s="19" t="s">
        <v>13</v>
      </c>
      <c r="D4" s="19">
        <v>1</v>
      </c>
      <c r="E4" s="19">
        <v>2</v>
      </c>
      <c r="F4" s="19">
        <v>3</v>
      </c>
      <c r="G4" s="19">
        <v>4</v>
      </c>
      <c r="H4" s="19">
        <v>5</v>
      </c>
      <c r="I4" s="19">
        <v>6</v>
      </c>
      <c r="J4" s="19">
        <v>7</v>
      </c>
      <c r="K4" s="19">
        <v>8</v>
      </c>
      <c r="L4" s="19">
        <v>9</v>
      </c>
      <c r="M4" s="19">
        <v>10</v>
      </c>
      <c r="N4" s="19">
        <v>11</v>
      </c>
      <c r="O4" s="19">
        <v>12</v>
      </c>
      <c r="P4" s="19">
        <v>13</v>
      </c>
      <c r="Q4" s="19">
        <v>14</v>
      </c>
      <c r="R4" s="19">
        <v>15</v>
      </c>
      <c r="S4" s="19">
        <v>16</v>
      </c>
      <c r="T4" s="19">
        <v>17</v>
      </c>
      <c r="U4" s="19">
        <v>18</v>
      </c>
      <c r="V4" s="19">
        <v>19</v>
      </c>
      <c r="W4" s="19">
        <v>20</v>
      </c>
      <c r="X4" s="19">
        <v>21</v>
      </c>
      <c r="Y4" s="19">
        <v>22</v>
      </c>
      <c r="Z4" s="19">
        <v>23</v>
      </c>
      <c r="AA4" s="19">
        <v>24</v>
      </c>
    </row>
    <row r="5" spans="1:28" ht="16.5" thickTop="1" thickBot="1" x14ac:dyDescent="0.3">
      <c r="A5" s="1"/>
      <c r="B5" s="51"/>
      <c r="C5" s="3" t="s">
        <v>17</v>
      </c>
      <c r="D5" s="15">
        <v>1370.1969999999901</v>
      </c>
      <c r="E5" s="15">
        <v>1922.3679999999899</v>
      </c>
      <c r="F5" s="15">
        <v>2419.5657499999902</v>
      </c>
      <c r="G5" s="15">
        <v>2636.6264999999898</v>
      </c>
      <c r="H5" s="15">
        <v>2760.5509999999899</v>
      </c>
      <c r="I5" s="15">
        <v>3110.65399999999</v>
      </c>
      <c r="J5" s="15">
        <v>3152.3344999999999</v>
      </c>
      <c r="K5" s="15">
        <v>4092.9749999999999</v>
      </c>
      <c r="L5" s="15">
        <v>3893.3485000000001</v>
      </c>
      <c r="M5" s="15">
        <v>3986.3679999999999</v>
      </c>
      <c r="N5" s="15">
        <v>4028.0787500000001</v>
      </c>
      <c r="O5" s="15">
        <v>4019.1999999999898</v>
      </c>
      <c r="P5" s="15">
        <v>4039.9817499999899</v>
      </c>
      <c r="Q5" s="15">
        <v>4150.3379999999997</v>
      </c>
      <c r="R5" s="15">
        <v>4614.6614999999902</v>
      </c>
      <c r="S5" s="15">
        <v>4338.2574999999997</v>
      </c>
      <c r="T5" s="15">
        <v>4466.835</v>
      </c>
      <c r="U5" s="15">
        <v>4790.0749999999998</v>
      </c>
      <c r="V5" s="15">
        <v>4013.2907500000001</v>
      </c>
      <c r="W5" s="15">
        <v>4614.3344999999899</v>
      </c>
      <c r="X5" s="15">
        <v>4728.0777499999904</v>
      </c>
      <c r="Y5" s="15">
        <v>5147.7759999999898</v>
      </c>
      <c r="Z5" s="15">
        <v>4861.3545000000004</v>
      </c>
      <c r="AA5" s="15">
        <v>4660.67399999999</v>
      </c>
    </row>
    <row r="6" spans="1:28" ht="15.75" thickTop="1" x14ac:dyDescent="0.25">
      <c r="A6" s="1"/>
      <c r="B6" s="51"/>
      <c r="C6" s="49" t="s">
        <v>4</v>
      </c>
      <c r="D6" s="14">
        <v>2613.0584208872101</v>
      </c>
      <c r="E6" s="14">
        <v>2813.2331263074898</v>
      </c>
      <c r="F6" s="14">
        <v>3239.1664280095702</v>
      </c>
      <c r="G6" s="14">
        <v>3524.9698103108299</v>
      </c>
      <c r="H6" s="14">
        <v>3664.3809860881602</v>
      </c>
      <c r="I6" s="14">
        <v>3986.3977348600101</v>
      </c>
      <c r="J6" s="14">
        <v>3672.7379718838001</v>
      </c>
      <c r="K6" s="14">
        <v>4323.1668513897102</v>
      </c>
      <c r="L6" s="14">
        <v>3570.6459608288801</v>
      </c>
      <c r="M6" s="14">
        <v>3980.0275327051299</v>
      </c>
      <c r="N6" s="14">
        <v>4066.1036387885201</v>
      </c>
      <c r="O6" s="14">
        <v>3408.29266086295</v>
      </c>
      <c r="P6" s="14">
        <v>2892.3122756472899</v>
      </c>
      <c r="Q6" s="14">
        <v>3360.4425997397002</v>
      </c>
      <c r="R6" s="14">
        <v>2886.8767779812001</v>
      </c>
      <c r="S6" s="14">
        <v>3278.7913462390002</v>
      </c>
      <c r="T6" s="14">
        <v>3479.1164520842499</v>
      </c>
      <c r="U6" s="14">
        <v>3533.3653667468202</v>
      </c>
      <c r="V6" s="14">
        <v>3876.1078039205199</v>
      </c>
      <c r="W6" s="14">
        <v>4312.8827206082697</v>
      </c>
      <c r="X6" s="14">
        <v>4489.1304009423902</v>
      </c>
      <c r="Y6" s="14">
        <v>4052.3638929926601</v>
      </c>
      <c r="Z6" s="14">
        <v>4081.3424863557698</v>
      </c>
      <c r="AA6" s="14">
        <v>4271.79687207809</v>
      </c>
    </row>
    <row r="7" spans="1:28" x14ac:dyDescent="0.25">
      <c r="A7" s="1"/>
      <c r="B7" s="51"/>
      <c r="C7" s="49" t="s">
        <v>5</v>
      </c>
      <c r="D7" s="14">
        <v>1636.9154958947399</v>
      </c>
      <c r="E7" s="14">
        <v>2659.8028117911999</v>
      </c>
      <c r="F7" s="14">
        <v>2860.4395768336799</v>
      </c>
      <c r="G7" s="14">
        <v>4479.1125942994404</v>
      </c>
      <c r="H7" s="14">
        <v>4860.7626142998997</v>
      </c>
      <c r="I7" s="14">
        <v>4591.6114573836303</v>
      </c>
      <c r="J7" s="14">
        <v>4742.8745542114202</v>
      </c>
      <c r="K7" s="14">
        <v>5333.96079393941</v>
      </c>
      <c r="L7" s="14">
        <v>5219.0832546966703</v>
      </c>
      <c r="M7" s="14">
        <v>5222.6493793254904</v>
      </c>
      <c r="N7" s="14">
        <v>5610.0951424026198</v>
      </c>
      <c r="O7" s="14">
        <v>5701.3578363755296</v>
      </c>
      <c r="P7" s="14">
        <v>5714.8621181280596</v>
      </c>
      <c r="Q7" s="14">
        <v>5394.5740136596296</v>
      </c>
      <c r="R7" s="14">
        <v>5405.3576146591904</v>
      </c>
      <c r="S7" s="14">
        <v>5495.2933213246497</v>
      </c>
      <c r="T7" s="14">
        <v>5526.3157010560099</v>
      </c>
      <c r="U7" s="14">
        <v>5768.9334183225501</v>
      </c>
      <c r="V7" s="14">
        <v>5907.8541562106202</v>
      </c>
      <c r="W7" s="14">
        <v>5962.0651175518196</v>
      </c>
      <c r="X7" s="14">
        <v>5974.9237665322498</v>
      </c>
      <c r="Y7" s="14">
        <v>5929.1964130796696</v>
      </c>
      <c r="Z7" s="14">
        <v>5736.3973015940801</v>
      </c>
      <c r="AA7" s="14">
        <v>5543.9247775336798</v>
      </c>
    </row>
    <row r="8" spans="1:28" x14ac:dyDescent="0.25">
      <c r="A8" s="1"/>
      <c r="B8" s="51"/>
      <c r="C8" s="49" t="s">
        <v>6</v>
      </c>
      <c r="D8" s="14">
        <v>1966.1505147366299</v>
      </c>
      <c r="E8" s="14">
        <v>3288.9590683564602</v>
      </c>
      <c r="F8" s="14">
        <v>3784.7796967427398</v>
      </c>
      <c r="G8" s="14">
        <v>4716.8705437298704</v>
      </c>
      <c r="H8" s="14">
        <v>4419.0784370026404</v>
      </c>
      <c r="I8" s="14">
        <v>5355.1862354265904</v>
      </c>
      <c r="J8" s="14">
        <v>5391.3586410520302</v>
      </c>
      <c r="K8" s="14">
        <v>5653.5459804050897</v>
      </c>
      <c r="L8" s="14">
        <v>5601.1478739970198</v>
      </c>
      <c r="M8" s="14">
        <v>5816.44532940106</v>
      </c>
      <c r="N8" s="14">
        <v>6083.6940717420803</v>
      </c>
      <c r="O8" s="14">
        <v>6400.9174426811396</v>
      </c>
      <c r="P8" s="14">
        <v>6380.7138271371696</v>
      </c>
      <c r="Q8" s="14">
        <v>6147.3958224773796</v>
      </c>
      <c r="R8" s="14">
        <v>6040.2385970547402</v>
      </c>
      <c r="S8" s="14">
        <v>5998.2924046513799</v>
      </c>
      <c r="T8" s="14">
        <v>6236.4115848746796</v>
      </c>
      <c r="U8" s="14">
        <v>6395.8486960002401</v>
      </c>
      <c r="V8" s="14">
        <v>6433.5825785715997</v>
      </c>
      <c r="W8" s="14">
        <v>6599.1359762942102</v>
      </c>
      <c r="X8" s="14">
        <v>6459.7360037267799</v>
      </c>
      <c r="Y8" s="14">
        <v>6871.4832840893496</v>
      </c>
      <c r="Z8" s="14">
        <v>6886.2752761363399</v>
      </c>
      <c r="AA8" s="14">
        <v>6257.6869452174196</v>
      </c>
    </row>
    <row r="9" spans="1:28" x14ac:dyDescent="0.25">
      <c r="A9" s="1"/>
      <c r="B9" s="51"/>
      <c r="C9" s="49" t="s">
        <v>7</v>
      </c>
      <c r="D9" s="14">
        <v>1128.7496857671099</v>
      </c>
      <c r="E9" s="14">
        <v>1869.20904130697</v>
      </c>
      <c r="F9" s="14">
        <v>2289.7204623147099</v>
      </c>
      <c r="G9" s="14">
        <v>3038.3040841172601</v>
      </c>
      <c r="H9" s="14">
        <v>3202.9778573816302</v>
      </c>
      <c r="I9" s="14">
        <v>3639.5198387268201</v>
      </c>
      <c r="J9" s="14">
        <v>4048.8106398407599</v>
      </c>
      <c r="K9" s="14">
        <v>4239.5661593025598</v>
      </c>
      <c r="L9" s="14">
        <v>4571.8585071588004</v>
      </c>
      <c r="M9" s="14">
        <v>4994.1516950303603</v>
      </c>
      <c r="N9" s="14">
        <v>4793.5345217177501</v>
      </c>
      <c r="O9" s="14">
        <v>4621.0241710524997</v>
      </c>
      <c r="P9" s="14">
        <v>4863.2219938939697</v>
      </c>
      <c r="Q9" s="14">
        <v>4699.7862847626202</v>
      </c>
      <c r="R9" s="14">
        <v>4826.2978938357401</v>
      </c>
      <c r="S9" s="14">
        <v>4878.6534389932103</v>
      </c>
      <c r="T9" s="14">
        <v>5134.1267317261099</v>
      </c>
      <c r="U9" s="14">
        <v>5050.1671180511703</v>
      </c>
      <c r="V9" s="14">
        <v>5056.2949229360001</v>
      </c>
      <c r="W9" s="14">
        <v>5041.0909882498099</v>
      </c>
      <c r="X9" s="14">
        <v>5409.7070576557699</v>
      </c>
      <c r="Y9" s="14">
        <v>5642.3393294362804</v>
      </c>
      <c r="Z9" s="14">
        <v>5643.6811122633299</v>
      </c>
      <c r="AA9" s="14">
        <v>5474.0498275991404</v>
      </c>
    </row>
    <row r="10" spans="1:28" x14ac:dyDescent="0.25">
      <c r="A10" s="1"/>
      <c r="B10" s="51"/>
      <c r="C10" s="49" t="s">
        <v>8</v>
      </c>
      <c r="D10" s="14">
        <v>872.17232714946999</v>
      </c>
      <c r="E10" s="14">
        <v>1975.18238641731</v>
      </c>
      <c r="F10" s="14">
        <v>2330.1958894603199</v>
      </c>
      <c r="G10" s="14">
        <v>2929.3754951556698</v>
      </c>
      <c r="H10" s="14">
        <v>3207.0845107015698</v>
      </c>
      <c r="I10" s="14">
        <v>3635.5039217143699</v>
      </c>
      <c r="J10" s="14">
        <v>3656.5316198154001</v>
      </c>
      <c r="K10" s="14">
        <v>3759.0883759602998</v>
      </c>
      <c r="L10" s="14">
        <v>4000.8901590783398</v>
      </c>
      <c r="M10" s="14">
        <v>4324.9925403936604</v>
      </c>
      <c r="N10" s="14">
        <v>3887.8455285948999</v>
      </c>
      <c r="O10" s="14">
        <v>4022.1950292668998</v>
      </c>
      <c r="P10" s="14">
        <v>4340.8766304544497</v>
      </c>
      <c r="Q10" s="14">
        <v>4368.8978469807598</v>
      </c>
      <c r="R10" s="14">
        <v>4500.4719241102102</v>
      </c>
      <c r="S10" s="14">
        <v>4765.9421166360398</v>
      </c>
      <c r="T10" s="14">
        <v>4899.7971942966997</v>
      </c>
      <c r="U10" s="14">
        <v>4780.4399463095397</v>
      </c>
      <c r="V10" s="14">
        <v>4902.9359542925604</v>
      </c>
      <c r="W10" s="14">
        <v>4983.7661438058803</v>
      </c>
      <c r="X10" s="14">
        <v>4562.29492804653</v>
      </c>
      <c r="Y10" s="14">
        <v>4950.6352778051496</v>
      </c>
      <c r="Z10" s="14">
        <v>4890.5703112623996</v>
      </c>
      <c r="AA10" s="14">
        <v>4863.1642208657704</v>
      </c>
    </row>
    <row r="11" spans="1:28" x14ac:dyDescent="0.25">
      <c r="A11" s="1"/>
      <c r="B11" s="51"/>
      <c r="C11" s="49" t="s">
        <v>9</v>
      </c>
      <c r="D11" s="14">
        <v>1024.6383605942899</v>
      </c>
      <c r="E11" s="14">
        <v>1653.03508395984</v>
      </c>
      <c r="F11" s="14">
        <v>1999.94810374649</v>
      </c>
      <c r="G11" s="14">
        <v>2537.09631810465</v>
      </c>
      <c r="H11" s="14">
        <v>2673.6440717012501</v>
      </c>
      <c r="I11" s="14">
        <v>2940.1745291288798</v>
      </c>
      <c r="J11" s="14">
        <v>3495.16799778218</v>
      </c>
      <c r="K11" s="14">
        <v>3623.5274380536298</v>
      </c>
      <c r="L11" s="14">
        <v>3615.2202107369199</v>
      </c>
      <c r="M11" s="14">
        <v>3916.44486716237</v>
      </c>
      <c r="N11" s="14">
        <v>3403.22394830956</v>
      </c>
      <c r="O11" s="14">
        <v>3810.7085550355901</v>
      </c>
      <c r="P11" s="14">
        <v>3626.8551316932399</v>
      </c>
      <c r="Q11" s="14">
        <v>3469.5855140490398</v>
      </c>
      <c r="R11" s="14">
        <v>3355.8374617588001</v>
      </c>
      <c r="S11" s="14">
        <v>3966.4487220925898</v>
      </c>
      <c r="T11" s="14">
        <v>3791.9848427178999</v>
      </c>
      <c r="U11" s="14">
        <v>4094.4831336797301</v>
      </c>
      <c r="V11" s="14">
        <v>4071.2715031993998</v>
      </c>
      <c r="W11" s="14">
        <v>4411.4235303231999</v>
      </c>
      <c r="X11" s="14">
        <v>4540.1058998905701</v>
      </c>
      <c r="Y11" s="14">
        <v>4761.2014345192702</v>
      </c>
      <c r="Z11" s="14">
        <v>4422.5611223835404</v>
      </c>
      <c r="AA11" s="14">
        <v>4219.2913845509202</v>
      </c>
    </row>
    <row r="12" spans="1:28" ht="15.75" thickBot="1" x14ac:dyDescent="0.3">
      <c r="A12" s="1"/>
      <c r="B12" s="51"/>
      <c r="C12" s="19" t="s">
        <v>10</v>
      </c>
      <c r="D12" s="16">
        <v>859.19665894555499</v>
      </c>
      <c r="E12" s="16">
        <v>1903.9994378727999</v>
      </c>
      <c r="F12" s="16">
        <v>1920.7809607655199</v>
      </c>
      <c r="G12" s="16">
        <v>2717.47760851362</v>
      </c>
      <c r="H12" s="16">
        <v>2275.0355511778498</v>
      </c>
      <c r="I12" s="16">
        <v>2870.3038924945399</v>
      </c>
      <c r="J12" s="16">
        <v>3313.9893412889101</v>
      </c>
      <c r="K12" s="16">
        <v>3572.0787331862298</v>
      </c>
      <c r="L12" s="16">
        <v>3439.4870645617698</v>
      </c>
      <c r="M12" s="16">
        <v>3773.4975363517201</v>
      </c>
      <c r="N12" s="16">
        <v>3368.0512753876701</v>
      </c>
      <c r="O12" s="16">
        <v>3614.5419641080598</v>
      </c>
      <c r="P12" s="16">
        <v>3438.8296656633302</v>
      </c>
      <c r="Q12" s="16">
        <v>3329.4470585593399</v>
      </c>
      <c r="R12" s="16">
        <v>3369.1231422738701</v>
      </c>
      <c r="S12" s="16">
        <v>3933.5605675307802</v>
      </c>
      <c r="T12" s="16">
        <v>3922.0994932542399</v>
      </c>
      <c r="U12" s="16">
        <v>3780.3847987776599</v>
      </c>
      <c r="V12" s="16">
        <v>4165.7290211151603</v>
      </c>
      <c r="W12" s="16">
        <v>4139.4384104820201</v>
      </c>
      <c r="X12" s="16">
        <v>4104.3882170466704</v>
      </c>
      <c r="Y12" s="16">
        <v>4237.5896269314499</v>
      </c>
      <c r="Z12" s="16">
        <v>4145.6381406094297</v>
      </c>
      <c r="AA12" s="16">
        <v>4135.4500235568503</v>
      </c>
    </row>
    <row r="13" spans="1:28" ht="15.75" thickTop="1" x14ac:dyDescent="0.25">
      <c r="A13" s="1"/>
      <c r="B13" s="51"/>
      <c r="C13" s="49" t="s">
        <v>26</v>
      </c>
      <c r="D13" s="14">
        <v>1033.2416653338501</v>
      </c>
      <c r="E13" s="14">
        <v>1972.2216770566399</v>
      </c>
      <c r="F13" s="14">
        <v>2036.6371121105101</v>
      </c>
      <c r="G13" s="14">
        <v>2552.1798209242502</v>
      </c>
      <c r="H13" s="14">
        <v>2436.1711105046402</v>
      </c>
      <c r="I13" s="14">
        <v>2801.9363030678101</v>
      </c>
      <c r="J13" s="14">
        <v>3287.3950953110998</v>
      </c>
      <c r="K13" s="14">
        <v>3696.1887933120302</v>
      </c>
      <c r="L13" s="14">
        <v>3190.8135184420798</v>
      </c>
      <c r="M13" s="14">
        <v>3886.2421702564998</v>
      </c>
      <c r="N13" s="14">
        <v>3400.7622398162098</v>
      </c>
      <c r="O13" s="14">
        <v>3705.0181612041802</v>
      </c>
      <c r="P13" s="14">
        <v>3372.5129966837098</v>
      </c>
      <c r="Q13" s="14">
        <v>3406.98009456507</v>
      </c>
      <c r="R13" s="14">
        <v>3576.2401682337099</v>
      </c>
      <c r="S13" s="14">
        <v>4102.5484563227901</v>
      </c>
      <c r="T13" s="14">
        <v>3815.7295954258602</v>
      </c>
      <c r="U13" s="14">
        <v>3668.8972381091598</v>
      </c>
      <c r="V13" s="14">
        <v>4062.1437160004498</v>
      </c>
      <c r="W13" s="14">
        <v>4256.8468345358997</v>
      </c>
      <c r="X13" s="14">
        <v>4261.0938943320398</v>
      </c>
      <c r="Y13" s="14">
        <v>4582.1836925431899</v>
      </c>
      <c r="Z13" s="14">
        <v>4298.8415137246102</v>
      </c>
      <c r="AA13" s="14">
        <v>4074.3054050945998</v>
      </c>
    </row>
    <row r="14" spans="1:28" x14ac:dyDescent="0.25">
      <c r="A14" s="1"/>
      <c r="B14" s="51"/>
      <c r="C14" s="49" t="s">
        <v>27</v>
      </c>
      <c r="D14" s="14">
        <v>974.94208718362904</v>
      </c>
      <c r="E14" s="14">
        <v>1915.5388370923099</v>
      </c>
      <c r="F14" s="14">
        <v>2184.16102286571</v>
      </c>
      <c r="G14" s="14">
        <v>2656.1866810598799</v>
      </c>
      <c r="H14" s="14">
        <v>2407.6210336711201</v>
      </c>
      <c r="I14" s="14">
        <v>2964.5431812982702</v>
      </c>
      <c r="J14" s="14">
        <v>3312.1648062086101</v>
      </c>
      <c r="K14" s="14">
        <v>3637.06428111896</v>
      </c>
      <c r="L14" s="14">
        <v>3212.8066916999101</v>
      </c>
      <c r="M14" s="14">
        <v>3831.2988735561999</v>
      </c>
      <c r="N14" s="14">
        <v>3313.1163638427201</v>
      </c>
      <c r="O14" s="14">
        <v>3657.17694801367</v>
      </c>
      <c r="P14" s="14">
        <v>3158.2296216158902</v>
      </c>
      <c r="Q14" s="14">
        <v>3385.9308887442198</v>
      </c>
      <c r="R14" s="14">
        <v>3593.3616479433299</v>
      </c>
      <c r="S14" s="14">
        <v>3990.15888882318</v>
      </c>
      <c r="T14" s="14">
        <v>3782.1610993263498</v>
      </c>
      <c r="U14" s="14">
        <v>3941.43354657491</v>
      </c>
      <c r="V14" s="14">
        <v>4052.13896294202</v>
      </c>
      <c r="W14" s="14">
        <v>4208.5135972661901</v>
      </c>
      <c r="X14" s="14">
        <v>4276.3044023838102</v>
      </c>
      <c r="Y14" s="14">
        <v>4560.6157665025203</v>
      </c>
      <c r="Z14" s="14">
        <v>4255.9012202113699</v>
      </c>
      <c r="AA14" s="14">
        <v>4060.2684008261999</v>
      </c>
    </row>
    <row r="15" spans="1:28" ht="15.75" thickBot="1" x14ac:dyDescent="0.3">
      <c r="A15" s="1"/>
      <c r="B15" s="51"/>
      <c r="C15" s="19" t="s">
        <v>28</v>
      </c>
      <c r="D15" s="16">
        <v>885.58371994765798</v>
      </c>
      <c r="E15" s="16">
        <v>1556.76269644124</v>
      </c>
      <c r="F15" s="16">
        <v>1781.9406297791199</v>
      </c>
      <c r="G15" s="16">
        <v>2530.2367743103</v>
      </c>
      <c r="H15" s="16">
        <v>2279.7446637160901</v>
      </c>
      <c r="I15" s="16">
        <v>2609.9881628500598</v>
      </c>
      <c r="J15" s="16">
        <v>2738.75078661816</v>
      </c>
      <c r="K15" s="16">
        <v>3371.6100842251599</v>
      </c>
      <c r="L15" s="16">
        <v>3377.0904710565501</v>
      </c>
      <c r="M15" s="16">
        <v>3563.7589734467401</v>
      </c>
      <c r="N15" s="16">
        <v>3155.5491392230501</v>
      </c>
      <c r="O15" s="16">
        <v>3251.9351438134299</v>
      </c>
      <c r="P15" s="16">
        <v>2943.8224606793801</v>
      </c>
      <c r="Q15" s="16">
        <v>3192.25058029101</v>
      </c>
      <c r="R15" s="16">
        <v>3098.6227314531302</v>
      </c>
      <c r="S15" s="16">
        <v>3481.4575438091301</v>
      </c>
      <c r="T15" s="16">
        <v>3424.9515382691002</v>
      </c>
      <c r="U15" s="16">
        <v>3574.6854487410201</v>
      </c>
      <c r="V15" s="16">
        <v>3676.0340569663899</v>
      </c>
      <c r="W15" s="16">
        <v>4002.6584154380198</v>
      </c>
      <c r="X15" s="16">
        <v>4029.5429896118699</v>
      </c>
      <c r="Y15" s="16">
        <v>4352.0072030280699</v>
      </c>
      <c r="Z15" s="16">
        <v>4069.37212058671</v>
      </c>
      <c r="AA15" s="16">
        <v>4014.9444144696499</v>
      </c>
    </row>
    <row r="16" spans="1:28" ht="16.5" thickTop="1" thickBot="1" x14ac:dyDescent="0.3">
      <c r="A16" s="1"/>
      <c r="B16" s="51"/>
      <c r="C16" s="3" t="s">
        <v>15</v>
      </c>
      <c r="D16" s="15">
        <v>461.11999999999898</v>
      </c>
      <c r="E16" s="15">
        <v>508.15999999999599</v>
      </c>
      <c r="F16" s="15">
        <v>461.11999999999898</v>
      </c>
      <c r="G16" s="15">
        <v>508.15999999999599</v>
      </c>
      <c r="H16" s="15">
        <v>579.30999999999494</v>
      </c>
      <c r="I16" s="15">
        <v>650.45999999999503</v>
      </c>
      <c r="J16" s="15">
        <v>657.24999999999795</v>
      </c>
      <c r="K16" s="15">
        <v>664.04</v>
      </c>
      <c r="L16" s="15">
        <v>669.63500000000101</v>
      </c>
      <c r="M16" s="15">
        <v>675.23000000000104</v>
      </c>
      <c r="N16" s="15">
        <v>976.38999999999805</v>
      </c>
      <c r="O16" s="15">
        <v>675.23000000000104</v>
      </c>
      <c r="P16" s="15">
        <v>1459.18</v>
      </c>
      <c r="Q16" s="15">
        <v>1484.6599999999901</v>
      </c>
      <c r="R16" s="15">
        <v>1459.18</v>
      </c>
      <c r="S16" s="15">
        <v>1433.7</v>
      </c>
      <c r="T16" s="15">
        <v>1322.84</v>
      </c>
      <c r="U16" s="15">
        <v>1433.7</v>
      </c>
      <c r="V16" s="15">
        <v>1459.18</v>
      </c>
      <c r="W16" s="18">
        <v>1484.6599999999901</v>
      </c>
      <c r="X16" s="18">
        <v>1528.42</v>
      </c>
      <c r="Y16" s="18">
        <v>1572.18</v>
      </c>
      <c r="Z16" s="18">
        <v>1528.42</v>
      </c>
      <c r="AA16" s="18">
        <v>1484.6599999999901</v>
      </c>
    </row>
    <row r="17" spans="1:27" ht="16.5" thickTop="1" thickBot="1" x14ac:dyDescent="0.3">
      <c r="A17" s="1"/>
      <c r="B17" s="49"/>
      <c r="C17" s="19" t="s">
        <v>11</v>
      </c>
      <c r="D17" s="16">
        <v>1524.12857072886</v>
      </c>
      <c r="E17" s="16">
        <v>2195.8352504405302</v>
      </c>
      <c r="F17" s="16">
        <v>1863.5609184961099</v>
      </c>
      <c r="G17" s="16">
        <v>2017.31521077152</v>
      </c>
      <c r="H17" s="16">
        <v>2388.8292055953402</v>
      </c>
      <c r="I17" s="16">
        <v>2243.9728863824998</v>
      </c>
      <c r="J17" s="16">
        <v>2732.3021778942302</v>
      </c>
      <c r="K17" s="16">
        <v>2541.07492771442</v>
      </c>
      <c r="L17" s="16">
        <v>2487.02365566859</v>
      </c>
      <c r="M17" s="16">
        <v>2497.8288675301001</v>
      </c>
      <c r="N17" s="16">
        <v>2991.6705750604901</v>
      </c>
      <c r="O17" s="16">
        <v>2670.7133325075802</v>
      </c>
      <c r="P17" s="16">
        <v>2493.2811914960098</v>
      </c>
      <c r="Q17" s="16">
        <v>2931.7822010065302</v>
      </c>
      <c r="R17" s="16">
        <v>2597.95653538334</v>
      </c>
      <c r="S17" s="16">
        <v>2535.60833974041</v>
      </c>
      <c r="T17" s="16">
        <v>2338.3856183019002</v>
      </c>
      <c r="U17" s="16">
        <v>2061.8354549498899</v>
      </c>
      <c r="V17" s="16">
        <v>2481.9051166059699</v>
      </c>
      <c r="W17" s="17">
        <v>1985.2334994232599</v>
      </c>
      <c r="X17" s="17">
        <v>2308.9805135971901</v>
      </c>
      <c r="Y17" s="17">
        <v>2431.06078016835</v>
      </c>
      <c r="Z17" s="17">
        <v>2325.8431772003</v>
      </c>
      <c r="AA17" s="17">
        <v>2318.2606874510998</v>
      </c>
    </row>
    <row r="18" spans="1:27" ht="16.5" thickTop="1" thickBot="1" x14ac:dyDescent="0.3">
      <c r="A18" s="1"/>
      <c r="B18" s="49"/>
      <c r="C18" s="19" t="s">
        <v>18</v>
      </c>
      <c r="D18" s="16">
        <v>559.63055774299198</v>
      </c>
      <c r="E18" s="16">
        <v>1267.11800983337</v>
      </c>
      <c r="F18" s="16">
        <v>1492.4327924004201</v>
      </c>
      <c r="G18" s="16">
        <v>1994.7816466699001</v>
      </c>
      <c r="H18" s="16">
        <v>1971.9652882206301</v>
      </c>
      <c r="I18" s="16">
        <v>1536.49719539537</v>
      </c>
      <c r="J18" s="16">
        <v>2218.0376371491998</v>
      </c>
      <c r="K18" s="16">
        <v>2183.64458730859</v>
      </c>
      <c r="L18" s="16">
        <v>2582.9743792297199</v>
      </c>
      <c r="M18" s="16">
        <v>2053.3427156892999</v>
      </c>
      <c r="N18" s="16">
        <v>2270.7336904066301</v>
      </c>
      <c r="O18" s="16">
        <v>1906.4714486360899</v>
      </c>
      <c r="P18" s="16">
        <v>2205.00845292958</v>
      </c>
      <c r="Q18" s="16">
        <v>2244.6674737911198</v>
      </c>
      <c r="R18" s="16">
        <v>2801.2560248968498</v>
      </c>
      <c r="S18" s="16">
        <v>3229.4366643718399</v>
      </c>
      <c r="T18" s="16">
        <v>3231.1437030684001</v>
      </c>
      <c r="U18" s="16">
        <v>3412.3574946517301</v>
      </c>
      <c r="V18" s="16">
        <v>3414.0434039370102</v>
      </c>
      <c r="W18" s="17">
        <v>4462.3521142171403</v>
      </c>
      <c r="X18" s="17">
        <v>4726.5259079156904</v>
      </c>
      <c r="Y18" s="17">
        <v>4946.7855868709303</v>
      </c>
      <c r="Z18" s="17">
        <v>4293.5256935779898</v>
      </c>
      <c r="AA18" s="17">
        <v>4823.5400300393203</v>
      </c>
    </row>
    <row r="19" spans="1:27" ht="16.5" thickTop="1" thickBot="1" x14ac:dyDescent="0.3">
      <c r="A19" s="1"/>
      <c r="B19" s="49"/>
      <c r="C19" s="3" t="s">
        <v>29</v>
      </c>
      <c r="D19" s="15">
        <v>246.14220563070299</v>
      </c>
      <c r="E19" s="15">
        <v>-78.522559386408801</v>
      </c>
      <c r="F19" s="15">
        <v>369.65028281773402</v>
      </c>
      <c r="G19" s="15">
        <v>531.14861013503798</v>
      </c>
      <c r="H19" s="15">
        <v>646.28685097924699</v>
      </c>
      <c r="I19" s="15">
        <v>575.053961083285</v>
      </c>
      <c r="J19" s="15">
        <v>227.41213445034299</v>
      </c>
      <c r="K19" s="15">
        <v>673.98470331854298</v>
      </c>
      <c r="L19" s="15">
        <v>1103.99666565599</v>
      </c>
      <c r="M19" s="15">
        <v>1142.22526941917</v>
      </c>
      <c r="N19" s="15">
        <v>619.01815111724102</v>
      </c>
      <c r="O19" s="15">
        <v>1227.39051103203</v>
      </c>
      <c r="P19" s="15">
        <v>1496.39270815751</v>
      </c>
      <c r="Q19" s="15">
        <v>2217.7439587614699</v>
      </c>
      <c r="R19" s="15">
        <v>1576.93458224645</v>
      </c>
      <c r="S19" s="15">
        <v>1622.27471757542</v>
      </c>
      <c r="T19" s="15">
        <v>2219.3456762419901</v>
      </c>
      <c r="U19" s="15">
        <v>1967.9439017217201</v>
      </c>
      <c r="V19" s="15">
        <v>2267.49562176482</v>
      </c>
      <c r="W19" s="15">
        <v>1655.3967456351199</v>
      </c>
      <c r="X19" s="15">
        <v>1519.66419147594</v>
      </c>
      <c r="Y19" s="15">
        <v>1738.6512135283499</v>
      </c>
      <c r="Z19" s="15">
        <v>1752.2567924617499</v>
      </c>
      <c r="AA19" s="15">
        <v>2950.0560330070498</v>
      </c>
    </row>
    <row r="20" spans="1:27" ht="15.75" thickTop="1" x14ac:dyDescent="0.25">
      <c r="A20" s="1"/>
      <c r="B20" s="49"/>
      <c r="C20" s="49" t="s">
        <v>25</v>
      </c>
      <c r="D20" s="14">
        <v>2072.1149999999998</v>
      </c>
      <c r="E20" s="14">
        <v>2260.69</v>
      </c>
      <c r="F20" s="14">
        <v>2072.1149999999998</v>
      </c>
      <c r="G20" s="14">
        <v>2260.69</v>
      </c>
      <c r="H20" s="14">
        <v>2319.73</v>
      </c>
      <c r="I20" s="14">
        <v>2378.77</v>
      </c>
      <c r="J20" s="14">
        <v>2403.7449999999999</v>
      </c>
      <c r="K20" s="14">
        <v>2428.7199999999998</v>
      </c>
      <c r="L20" s="14">
        <v>2443.8699999999899</v>
      </c>
      <c r="M20" s="14">
        <v>2459.01999999999</v>
      </c>
      <c r="N20" s="14">
        <v>2607.8199999999902</v>
      </c>
      <c r="O20" s="14">
        <v>2756.62</v>
      </c>
      <c r="P20" s="14">
        <v>2926.97999999999</v>
      </c>
      <c r="Q20" s="14">
        <v>2935.48</v>
      </c>
      <c r="R20" s="14">
        <v>2926.97999999999</v>
      </c>
      <c r="S20" s="14">
        <v>2918.47999999999</v>
      </c>
      <c r="T20" s="14">
        <v>2849.0799999999899</v>
      </c>
      <c r="U20" s="14">
        <v>2918.47999999999</v>
      </c>
      <c r="V20" s="14">
        <v>2926.97999999999</v>
      </c>
      <c r="W20" s="14">
        <v>2935.48</v>
      </c>
      <c r="X20" s="14">
        <v>2981.32</v>
      </c>
      <c r="Y20" s="14">
        <v>3027.16</v>
      </c>
      <c r="Z20" s="14">
        <v>2981.32</v>
      </c>
      <c r="AA20" s="14">
        <v>2935.48</v>
      </c>
    </row>
    <row r="21" spans="1:27" x14ac:dyDescent="0.25">
      <c r="A21" s="1"/>
      <c r="B21" s="1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thickBot="1" x14ac:dyDescent="0.3">
      <c r="A22" s="1"/>
      <c r="B22" s="1"/>
      <c r="C22" s="19" t="s">
        <v>14</v>
      </c>
      <c r="D22" s="19">
        <v>1</v>
      </c>
      <c r="E22" s="19">
        <v>2</v>
      </c>
      <c r="F22" s="19">
        <v>3</v>
      </c>
      <c r="G22" s="19">
        <v>4</v>
      </c>
      <c r="H22" s="19">
        <v>5</v>
      </c>
      <c r="I22" s="19">
        <v>6</v>
      </c>
      <c r="J22" s="19">
        <v>7</v>
      </c>
      <c r="K22" s="19">
        <v>8</v>
      </c>
      <c r="L22" s="19">
        <v>9</v>
      </c>
      <c r="M22" s="19">
        <v>10</v>
      </c>
      <c r="N22" s="19">
        <v>11</v>
      </c>
      <c r="O22" s="19">
        <v>12</v>
      </c>
      <c r="P22" s="19">
        <v>13</v>
      </c>
      <c r="Q22" s="19">
        <v>14</v>
      </c>
      <c r="R22" s="19">
        <v>15</v>
      </c>
      <c r="S22" s="19">
        <v>16</v>
      </c>
      <c r="T22" s="19">
        <v>17</v>
      </c>
      <c r="U22" s="19">
        <v>18</v>
      </c>
      <c r="V22" s="19">
        <v>19</v>
      </c>
      <c r="W22" s="19">
        <v>20</v>
      </c>
      <c r="X22" s="19">
        <v>21</v>
      </c>
      <c r="Y22" s="19">
        <v>22</v>
      </c>
      <c r="Z22" s="19">
        <v>23</v>
      </c>
      <c r="AA22" s="19">
        <v>24</v>
      </c>
    </row>
    <row r="23" spans="1:27" ht="16.5" thickTop="1" thickBot="1" x14ac:dyDescent="0.3">
      <c r="A23" s="1"/>
      <c r="B23" s="51"/>
      <c r="C23" s="3" t="s">
        <v>17</v>
      </c>
      <c r="D23" s="15">
        <v>195.063749999999</v>
      </c>
      <c r="E23" s="15">
        <v>356.54050000000001</v>
      </c>
      <c r="F23" s="15">
        <v>470.59575000000001</v>
      </c>
      <c r="G23" s="15">
        <v>664.13649999999905</v>
      </c>
      <c r="H23" s="15">
        <v>936.62374999999997</v>
      </c>
      <c r="I23" s="15">
        <v>1068.2474999999999</v>
      </c>
      <c r="J23" s="15">
        <v>1144.5875000000001</v>
      </c>
      <c r="K23" s="15">
        <v>1275.0835</v>
      </c>
      <c r="L23" s="15">
        <v>1441.50225</v>
      </c>
      <c r="M23" s="15">
        <v>1442.98449999999</v>
      </c>
      <c r="N23" s="15">
        <v>1537.4739999999999</v>
      </c>
      <c r="O23" s="15">
        <v>1603.90199999999</v>
      </c>
      <c r="P23" s="15">
        <v>1622.6067499999999</v>
      </c>
      <c r="Q23" s="15">
        <v>1729.1769999999999</v>
      </c>
      <c r="R23" s="15">
        <v>1763.7660000000001</v>
      </c>
      <c r="S23" s="15">
        <v>1817.3015</v>
      </c>
      <c r="T23" s="15">
        <v>1790.2247500000001</v>
      </c>
      <c r="U23" s="15">
        <v>1915.67</v>
      </c>
      <c r="V23" s="15">
        <v>1968.4237499999899</v>
      </c>
      <c r="W23" s="15">
        <v>2129.46449999999</v>
      </c>
      <c r="X23" s="15">
        <v>2251.1612500000001</v>
      </c>
      <c r="Y23" s="15">
        <v>2319.4854999999998</v>
      </c>
      <c r="Z23" s="15">
        <v>2419.85275</v>
      </c>
      <c r="AA23" s="15">
        <v>2461.7325000000001</v>
      </c>
    </row>
    <row r="24" spans="1:27" ht="15.75" thickTop="1" x14ac:dyDescent="0.25">
      <c r="A24" s="1"/>
      <c r="B24" s="51"/>
      <c r="C24" s="49" t="s">
        <v>4</v>
      </c>
      <c r="D24" s="14">
        <v>230.67366515202499</v>
      </c>
      <c r="E24" s="14">
        <v>309.612010570439</v>
      </c>
      <c r="F24" s="14">
        <v>341.82573512582002</v>
      </c>
      <c r="G24" s="14">
        <v>486.49775246505999</v>
      </c>
      <c r="H24" s="14">
        <v>607.46953340081302</v>
      </c>
      <c r="I24" s="14">
        <v>629.57869755160698</v>
      </c>
      <c r="J24" s="14">
        <v>941.74977043723698</v>
      </c>
      <c r="K24" s="14">
        <v>992.192107836574</v>
      </c>
      <c r="L24" s="14">
        <v>1002.52107052514</v>
      </c>
      <c r="M24" s="14">
        <v>1034.2120345386099</v>
      </c>
      <c r="N24" s="14">
        <v>944.99607592030395</v>
      </c>
      <c r="O24" s="14">
        <v>1000.6852212098501</v>
      </c>
      <c r="P24" s="14">
        <v>1092.1824148670701</v>
      </c>
      <c r="Q24" s="14">
        <v>1055.9060453074901</v>
      </c>
      <c r="R24" s="14">
        <v>1122.9850335890601</v>
      </c>
      <c r="S24" s="14">
        <v>1117.3603795942699</v>
      </c>
      <c r="T24" s="14">
        <v>1130.1701567088001</v>
      </c>
      <c r="U24" s="14">
        <v>1131.47638578748</v>
      </c>
      <c r="V24" s="14">
        <v>1171.0956845676001</v>
      </c>
      <c r="W24" s="14">
        <v>1147.4698503448101</v>
      </c>
      <c r="X24" s="14">
        <v>1119.0216731774699</v>
      </c>
      <c r="Y24" s="14">
        <v>1128.34002867155</v>
      </c>
      <c r="Z24" s="14">
        <v>1087.9921671606601</v>
      </c>
      <c r="AA24" s="14">
        <v>1108.74969084141</v>
      </c>
    </row>
    <row r="25" spans="1:27" x14ac:dyDescent="0.25">
      <c r="A25" s="1"/>
      <c r="B25" s="51"/>
      <c r="C25" s="49" t="s">
        <v>5</v>
      </c>
      <c r="D25" s="14">
        <v>200.26260281723401</v>
      </c>
      <c r="E25" s="14">
        <v>331.32901576260099</v>
      </c>
      <c r="F25" s="14">
        <v>337.81615883281302</v>
      </c>
      <c r="G25" s="14">
        <v>428.88616486446301</v>
      </c>
      <c r="H25" s="14">
        <v>587.402391914948</v>
      </c>
      <c r="I25" s="14">
        <v>676.91890470058001</v>
      </c>
      <c r="J25" s="14">
        <v>862.39817234391899</v>
      </c>
      <c r="K25" s="14">
        <v>973.70647792874001</v>
      </c>
      <c r="L25" s="14">
        <v>1010.93340894378</v>
      </c>
      <c r="M25" s="14">
        <v>1087.7698843968899</v>
      </c>
      <c r="N25" s="14">
        <v>1096.9896208109501</v>
      </c>
      <c r="O25" s="14">
        <v>1158.0255841758101</v>
      </c>
      <c r="P25" s="14">
        <v>1187.7960572207901</v>
      </c>
      <c r="Q25" s="14">
        <v>1227.44805183054</v>
      </c>
      <c r="R25" s="14">
        <v>1283.06162514933</v>
      </c>
      <c r="S25" s="14">
        <v>1243.60301934313</v>
      </c>
      <c r="T25" s="14">
        <v>1246.9118821035199</v>
      </c>
      <c r="U25" s="14">
        <v>1328.1505553570601</v>
      </c>
      <c r="V25" s="14">
        <v>1388.62490763695</v>
      </c>
      <c r="W25" s="14">
        <v>1476.5114142971199</v>
      </c>
      <c r="X25" s="14">
        <v>1436.61313878193</v>
      </c>
      <c r="Y25" s="14">
        <v>1442.3352792636399</v>
      </c>
      <c r="Z25" s="14">
        <v>1487.37502168734</v>
      </c>
      <c r="AA25" s="14">
        <v>1523.2573180187601</v>
      </c>
    </row>
    <row r="26" spans="1:27" x14ac:dyDescent="0.25">
      <c r="A26" s="1"/>
      <c r="B26" s="51"/>
      <c r="C26" s="49" t="s">
        <v>6</v>
      </c>
      <c r="D26" s="14">
        <v>189.53203166395099</v>
      </c>
      <c r="E26" s="14">
        <v>310.47838555906401</v>
      </c>
      <c r="F26" s="14">
        <v>432.13973327185698</v>
      </c>
      <c r="G26" s="14">
        <v>615.52020217726101</v>
      </c>
      <c r="H26" s="14">
        <v>761.15910244077202</v>
      </c>
      <c r="I26" s="14">
        <v>926.89560801515995</v>
      </c>
      <c r="J26" s="14">
        <v>955.84236377283196</v>
      </c>
      <c r="K26" s="14">
        <v>1007.17560529578</v>
      </c>
      <c r="L26" s="14">
        <v>1075.5046111223301</v>
      </c>
      <c r="M26" s="14">
        <v>1091.0076810437899</v>
      </c>
      <c r="N26" s="14">
        <v>1086.8181508965399</v>
      </c>
      <c r="O26" s="14">
        <v>1125.3199622986999</v>
      </c>
      <c r="P26" s="14">
        <v>1262.3373871153999</v>
      </c>
      <c r="Q26" s="14">
        <v>1394.68356935263</v>
      </c>
      <c r="R26" s="14">
        <v>1352.96041553278</v>
      </c>
      <c r="S26" s="14">
        <v>1388.46156468404</v>
      </c>
      <c r="T26" s="14">
        <v>1367.7459996714399</v>
      </c>
      <c r="U26" s="14">
        <v>1414.6489704396499</v>
      </c>
      <c r="V26" s="14">
        <v>1515.44078290231</v>
      </c>
      <c r="W26" s="14">
        <v>1569.2581742549801</v>
      </c>
      <c r="X26" s="14">
        <v>1532.99457605411</v>
      </c>
      <c r="Y26" s="14">
        <v>1496.08464182494</v>
      </c>
      <c r="Z26" s="14">
        <v>1602.64901648107</v>
      </c>
      <c r="AA26" s="14">
        <v>1683.83694255308</v>
      </c>
    </row>
    <row r="27" spans="1:27" x14ac:dyDescent="0.25">
      <c r="A27" s="1"/>
      <c r="B27" s="51"/>
      <c r="C27" s="49" t="s">
        <v>7</v>
      </c>
      <c r="D27" s="14">
        <v>182.71245360925701</v>
      </c>
      <c r="E27" s="14">
        <v>297.10353822594902</v>
      </c>
      <c r="F27" s="14">
        <v>432.98619255098498</v>
      </c>
      <c r="G27" s="14">
        <v>530.45832924690001</v>
      </c>
      <c r="H27" s="14">
        <v>707.72024479203105</v>
      </c>
      <c r="I27" s="14">
        <v>802.160711845008</v>
      </c>
      <c r="J27" s="14">
        <v>866.41130854665903</v>
      </c>
      <c r="K27" s="14">
        <v>971.55176488053098</v>
      </c>
      <c r="L27" s="14">
        <v>1031.4959470270401</v>
      </c>
      <c r="M27" s="14">
        <v>1059.8474736298499</v>
      </c>
      <c r="N27" s="14">
        <v>1086.8069319281899</v>
      </c>
      <c r="O27" s="14">
        <v>1128.92578170362</v>
      </c>
      <c r="P27" s="14">
        <v>1252.5013378424201</v>
      </c>
      <c r="Q27" s="14">
        <v>1363.3932860924399</v>
      </c>
      <c r="R27" s="14">
        <v>1412.7869545522699</v>
      </c>
      <c r="S27" s="14">
        <v>1403.0372685821901</v>
      </c>
      <c r="T27" s="14">
        <v>1338.2894824681</v>
      </c>
      <c r="U27" s="14">
        <v>1415.4088029638799</v>
      </c>
      <c r="V27" s="14">
        <v>1521.4430112953401</v>
      </c>
      <c r="W27" s="14">
        <v>1550.67140934042</v>
      </c>
      <c r="X27" s="14">
        <v>1637.0920932858401</v>
      </c>
      <c r="Y27" s="14">
        <v>1598.15267031128</v>
      </c>
      <c r="Z27" s="14">
        <v>1751.0511010953301</v>
      </c>
      <c r="AA27" s="14">
        <v>1737.21473042658</v>
      </c>
    </row>
    <row r="28" spans="1:27" x14ac:dyDescent="0.25">
      <c r="A28" s="1"/>
      <c r="B28" s="51"/>
      <c r="C28" s="49" t="s">
        <v>8</v>
      </c>
      <c r="D28" s="14">
        <v>163.340516791303</v>
      </c>
      <c r="E28" s="14">
        <v>360.624759282669</v>
      </c>
      <c r="F28" s="14">
        <v>495.73730088545801</v>
      </c>
      <c r="G28" s="14">
        <v>568.65867785786202</v>
      </c>
      <c r="H28" s="14">
        <v>741.62366031831095</v>
      </c>
      <c r="I28" s="14">
        <v>953.59315944978005</v>
      </c>
      <c r="J28" s="14">
        <v>969.84910156230603</v>
      </c>
      <c r="K28" s="14">
        <v>914.18064656849799</v>
      </c>
      <c r="L28" s="14">
        <v>971.56594034036698</v>
      </c>
      <c r="M28" s="14">
        <v>1086.1059170175799</v>
      </c>
      <c r="N28" s="14">
        <v>1114.2839470996701</v>
      </c>
      <c r="O28" s="14">
        <v>1191.00212882649</v>
      </c>
      <c r="P28" s="14">
        <v>1272.30169006504</v>
      </c>
      <c r="Q28" s="14">
        <v>1343.3010312039</v>
      </c>
      <c r="R28" s="14">
        <v>1392.5996057367599</v>
      </c>
      <c r="S28" s="14">
        <v>1459.3256611552599</v>
      </c>
      <c r="T28" s="14">
        <v>1408.8369892104599</v>
      </c>
      <c r="U28" s="14">
        <v>1478.7025787881</v>
      </c>
      <c r="V28" s="14">
        <v>1552.9623273888101</v>
      </c>
      <c r="W28" s="14">
        <v>1597.8370957014399</v>
      </c>
      <c r="X28" s="14">
        <v>1643.8061366980901</v>
      </c>
      <c r="Y28" s="14">
        <v>1762.4092810300201</v>
      </c>
      <c r="Z28" s="14">
        <v>1769.76809404454</v>
      </c>
      <c r="AA28" s="14">
        <v>1761.2787104474901</v>
      </c>
    </row>
    <row r="29" spans="1:27" x14ac:dyDescent="0.25">
      <c r="A29" s="1"/>
      <c r="B29" s="51"/>
      <c r="C29" s="49" t="s">
        <v>9</v>
      </c>
      <c r="D29" s="14">
        <v>220.66391149890899</v>
      </c>
      <c r="E29" s="14">
        <v>351.38129773462799</v>
      </c>
      <c r="F29" s="14">
        <v>474.778489645116</v>
      </c>
      <c r="G29" s="14">
        <v>679.14274272828698</v>
      </c>
      <c r="H29" s="14">
        <v>837.860505315262</v>
      </c>
      <c r="I29" s="14">
        <v>1089.2647602146701</v>
      </c>
      <c r="J29" s="14">
        <v>1103.85508688442</v>
      </c>
      <c r="K29" s="14">
        <v>1171.27089518088</v>
      </c>
      <c r="L29" s="14">
        <v>1172.16176932899</v>
      </c>
      <c r="M29" s="14">
        <v>1267.2671135161299</v>
      </c>
      <c r="N29" s="14">
        <v>1320.6312931299101</v>
      </c>
      <c r="O29" s="14">
        <v>1357.4609217396601</v>
      </c>
      <c r="P29" s="14">
        <v>1476.86200034788</v>
      </c>
      <c r="Q29" s="14">
        <v>1606.60387081511</v>
      </c>
      <c r="R29" s="14">
        <v>1612.31419391439</v>
      </c>
      <c r="S29" s="14">
        <v>1626.0634413043499</v>
      </c>
      <c r="T29" s="14">
        <v>1636.7755340009701</v>
      </c>
      <c r="U29" s="14">
        <v>1705.174339915</v>
      </c>
      <c r="V29" s="14">
        <v>1744.31787409856</v>
      </c>
      <c r="W29" s="14">
        <v>1807.2556239544999</v>
      </c>
      <c r="X29" s="14">
        <v>1962.9562034718299</v>
      </c>
      <c r="Y29" s="14">
        <v>2021.3884581868599</v>
      </c>
      <c r="Z29" s="14">
        <v>2099.4227099067002</v>
      </c>
      <c r="AA29" s="14">
        <v>2121.9715049639999</v>
      </c>
    </row>
    <row r="30" spans="1:27" ht="15.75" thickBot="1" x14ac:dyDescent="0.3">
      <c r="A30" s="1"/>
      <c r="B30" s="51"/>
      <c r="C30" s="19" t="s">
        <v>10</v>
      </c>
      <c r="D30" s="16">
        <v>193.10412714317101</v>
      </c>
      <c r="E30" s="16">
        <v>284.06890798865601</v>
      </c>
      <c r="F30" s="16">
        <v>496.41781532406401</v>
      </c>
      <c r="G30" s="16">
        <v>592.55050720243696</v>
      </c>
      <c r="H30" s="16">
        <v>872.59668938904099</v>
      </c>
      <c r="I30" s="16">
        <v>1057.52874734072</v>
      </c>
      <c r="J30" s="16">
        <v>1124.04580777196</v>
      </c>
      <c r="K30" s="16">
        <v>1195.8727257502001</v>
      </c>
      <c r="L30" s="16">
        <v>1287.11753724494</v>
      </c>
      <c r="M30" s="16">
        <v>1271.4172307807501</v>
      </c>
      <c r="N30" s="16">
        <v>1302.83035241947</v>
      </c>
      <c r="O30" s="16">
        <v>1345.8701187847701</v>
      </c>
      <c r="P30" s="16">
        <v>1507.4515198060701</v>
      </c>
      <c r="Q30" s="16">
        <v>1525.9575637247899</v>
      </c>
      <c r="R30" s="16">
        <v>1597.3236149239401</v>
      </c>
      <c r="S30" s="16">
        <v>1669.1812862188101</v>
      </c>
      <c r="T30" s="16">
        <v>1670.9441486925</v>
      </c>
      <c r="U30" s="16">
        <v>1695.88356771854</v>
      </c>
      <c r="V30" s="16">
        <v>1804.05450740532</v>
      </c>
      <c r="W30" s="16">
        <v>1907.31485313898</v>
      </c>
      <c r="X30" s="16">
        <v>1967.28152558581</v>
      </c>
      <c r="Y30" s="16">
        <v>2009.9146862605101</v>
      </c>
      <c r="Z30" s="16">
        <v>2109.25985317307</v>
      </c>
      <c r="AA30" s="16">
        <v>2135.92330495635</v>
      </c>
    </row>
    <row r="31" spans="1:27" ht="15.75" thickTop="1" x14ac:dyDescent="0.25">
      <c r="A31" s="1"/>
      <c r="B31" s="51"/>
      <c r="C31" s="49" t="s">
        <v>26</v>
      </c>
      <c r="D31" s="14">
        <v>185.099845661003</v>
      </c>
      <c r="E31" s="14">
        <v>327.220813047685</v>
      </c>
      <c r="F31" s="14">
        <v>490.68835034426399</v>
      </c>
      <c r="G31" s="14">
        <v>666.09251238992601</v>
      </c>
      <c r="H31" s="14">
        <v>1027.1499801080899</v>
      </c>
      <c r="I31" s="14">
        <v>1136.3316883032901</v>
      </c>
      <c r="J31" s="14">
        <v>1152.29266924691</v>
      </c>
      <c r="K31" s="14">
        <v>1288.35686850716</v>
      </c>
      <c r="L31" s="14">
        <v>1339.7717610889299</v>
      </c>
      <c r="M31" s="14">
        <v>1358.5329058699399</v>
      </c>
      <c r="N31" s="14">
        <v>1358.6322175734999</v>
      </c>
      <c r="O31" s="14">
        <v>1451.75219896922</v>
      </c>
      <c r="P31" s="14">
        <v>1535.4851061484801</v>
      </c>
      <c r="Q31" s="14">
        <v>1653.46551510929</v>
      </c>
      <c r="R31" s="14">
        <v>1696.8740946805499</v>
      </c>
      <c r="S31" s="14">
        <v>1661.80792477261</v>
      </c>
      <c r="T31" s="14">
        <v>1723.4493500988499</v>
      </c>
      <c r="U31" s="14">
        <v>1752.2488271652301</v>
      </c>
      <c r="V31" s="14">
        <v>1854.7685227793199</v>
      </c>
      <c r="W31" s="14">
        <v>2019.51932003052</v>
      </c>
      <c r="X31" s="14">
        <v>2003.26445967564</v>
      </c>
      <c r="Y31" s="14">
        <v>1997.5664716107001</v>
      </c>
      <c r="Z31" s="14">
        <v>2092.46222380881</v>
      </c>
      <c r="AA31" s="14">
        <v>2300.6712689119499</v>
      </c>
    </row>
    <row r="32" spans="1:27" x14ac:dyDescent="0.25">
      <c r="A32" s="1"/>
      <c r="B32" s="51"/>
      <c r="C32" s="49" t="s">
        <v>27</v>
      </c>
      <c r="D32" s="14">
        <v>174.747794797631</v>
      </c>
      <c r="E32" s="14">
        <v>320.676515614631</v>
      </c>
      <c r="F32" s="14">
        <v>481.648370326438</v>
      </c>
      <c r="G32" s="14">
        <v>602.799466284608</v>
      </c>
      <c r="H32" s="14">
        <v>937.23683809894499</v>
      </c>
      <c r="I32" s="14">
        <v>1107.3175638820101</v>
      </c>
      <c r="J32" s="14">
        <v>1127.2804295181099</v>
      </c>
      <c r="K32" s="14">
        <v>1212.51096296176</v>
      </c>
      <c r="L32" s="14">
        <v>1300.2335965785401</v>
      </c>
      <c r="M32" s="14">
        <v>1267.4616887823599</v>
      </c>
      <c r="N32" s="14">
        <v>1323.01844264243</v>
      </c>
      <c r="O32" s="14">
        <v>1405.1894051530601</v>
      </c>
      <c r="P32" s="14">
        <v>1476.1941748009899</v>
      </c>
      <c r="Q32" s="14">
        <v>1548.2185989961999</v>
      </c>
      <c r="R32" s="14">
        <v>1594.9931444936899</v>
      </c>
      <c r="S32" s="14">
        <v>1631.33287041522</v>
      </c>
      <c r="T32" s="14">
        <v>1673.0797486644001</v>
      </c>
      <c r="U32" s="14">
        <v>1699.30170150349</v>
      </c>
      <c r="V32" s="14">
        <v>1787.2530752448899</v>
      </c>
      <c r="W32" s="14">
        <v>1951.3681466171099</v>
      </c>
      <c r="X32" s="14">
        <v>1989.86809445529</v>
      </c>
      <c r="Y32" s="14">
        <v>1973.36949587962</v>
      </c>
      <c r="Z32" s="14">
        <v>2029.89987895023</v>
      </c>
      <c r="AA32" s="14">
        <v>2128.6133052207001</v>
      </c>
    </row>
    <row r="33" spans="1:27" ht="15.75" thickBot="1" x14ac:dyDescent="0.3">
      <c r="A33" s="1"/>
      <c r="B33" s="51"/>
      <c r="C33" s="19" t="s">
        <v>28</v>
      </c>
      <c r="D33" s="16">
        <v>139.52572082625801</v>
      </c>
      <c r="E33" s="16">
        <v>239.93583665183499</v>
      </c>
      <c r="F33" s="16">
        <v>393.53088132521498</v>
      </c>
      <c r="G33" s="16">
        <v>472.941556219029</v>
      </c>
      <c r="H33" s="16">
        <v>706.40324213665394</v>
      </c>
      <c r="I33" s="16">
        <v>891.46183475248199</v>
      </c>
      <c r="J33" s="16">
        <v>973.22613825504197</v>
      </c>
      <c r="K33" s="16">
        <v>1040.78297331813</v>
      </c>
      <c r="L33" s="16">
        <v>1046.2783824268799</v>
      </c>
      <c r="M33" s="16">
        <v>1077.31586827158</v>
      </c>
      <c r="N33" s="16">
        <v>1088.8522989012899</v>
      </c>
      <c r="O33" s="16">
        <v>1085.4112087451999</v>
      </c>
      <c r="P33" s="16">
        <v>1252.02564988774</v>
      </c>
      <c r="Q33" s="16">
        <v>1336.88208787382</v>
      </c>
      <c r="R33" s="16">
        <v>1326.65461035508</v>
      </c>
      <c r="S33" s="16">
        <v>1512.93045825224</v>
      </c>
      <c r="T33" s="16">
        <v>1492.38626108474</v>
      </c>
      <c r="U33" s="16">
        <v>1613.5865869910001</v>
      </c>
      <c r="V33" s="16">
        <v>1652.4138654027199</v>
      </c>
      <c r="W33" s="16">
        <v>1804.9965099654801</v>
      </c>
      <c r="X33" s="16">
        <v>1794.26968121554</v>
      </c>
      <c r="Y33" s="16">
        <v>1664.9588294673299</v>
      </c>
      <c r="Z33" s="16">
        <v>1763.9783695833401</v>
      </c>
      <c r="AA33" s="16">
        <v>1814.73512921152</v>
      </c>
    </row>
    <row r="34" spans="1:27" ht="16.5" thickTop="1" thickBot="1" x14ac:dyDescent="0.3">
      <c r="A34" s="1"/>
      <c r="B34" s="1"/>
      <c r="C34" s="3" t="s">
        <v>15</v>
      </c>
      <c r="D34" s="15">
        <v>-2.7949999999998401</v>
      </c>
      <c r="E34" s="15">
        <v>0.32999999999992702</v>
      </c>
      <c r="F34" s="15">
        <v>10.725</v>
      </c>
      <c r="G34" s="15">
        <v>21.1200000000001</v>
      </c>
      <c r="H34" s="15">
        <v>44.8350000000001</v>
      </c>
      <c r="I34" s="15">
        <v>68.550000000000097</v>
      </c>
      <c r="J34" s="15">
        <v>74.69</v>
      </c>
      <c r="K34" s="15">
        <v>80.829999999999899</v>
      </c>
      <c r="L34" s="15">
        <v>85.059999999999903</v>
      </c>
      <c r="M34" s="15">
        <v>89.289999999999907</v>
      </c>
      <c r="N34" s="15">
        <v>102.994999999999</v>
      </c>
      <c r="O34" s="15">
        <v>89.289999999999907</v>
      </c>
      <c r="P34" s="15">
        <v>157.33500000000001</v>
      </c>
      <c r="Q34" s="15">
        <v>169.38</v>
      </c>
      <c r="R34" s="15">
        <v>177.24</v>
      </c>
      <c r="S34" s="15">
        <v>169.38</v>
      </c>
      <c r="T34" s="15">
        <v>157.33500000000001</v>
      </c>
      <c r="U34" s="15">
        <v>169.38</v>
      </c>
      <c r="V34" s="15">
        <v>177.24</v>
      </c>
      <c r="W34" s="15">
        <v>185.1</v>
      </c>
      <c r="X34" s="15">
        <v>187.58500000000001</v>
      </c>
      <c r="Y34" s="15">
        <v>190.07</v>
      </c>
      <c r="Z34" s="15">
        <v>187.58500000000001</v>
      </c>
      <c r="AA34" s="15">
        <v>185.1</v>
      </c>
    </row>
    <row r="35" spans="1:27" ht="16.5" thickTop="1" thickBot="1" x14ac:dyDescent="0.3">
      <c r="A35" s="7"/>
      <c r="B35" s="7"/>
      <c r="C35" s="19" t="s">
        <v>11</v>
      </c>
      <c r="D35" s="16">
        <v>118.935015053965</v>
      </c>
      <c r="E35" s="16">
        <v>221.11810838147599</v>
      </c>
      <c r="F35" s="16">
        <v>200.33370211404599</v>
      </c>
      <c r="G35" s="16">
        <v>309.38812021112699</v>
      </c>
      <c r="H35" s="16">
        <v>351.03052738967199</v>
      </c>
      <c r="I35" s="16">
        <v>378.9538982437</v>
      </c>
      <c r="J35" s="16">
        <v>424.41972272193402</v>
      </c>
      <c r="K35" s="16">
        <v>418.13839733432297</v>
      </c>
      <c r="L35" s="16">
        <v>360.79353747779101</v>
      </c>
      <c r="M35" s="16">
        <v>366.77834750860001</v>
      </c>
      <c r="N35" s="16">
        <v>338.42721586745103</v>
      </c>
      <c r="O35" s="16">
        <v>366.63184538286498</v>
      </c>
      <c r="P35" s="16">
        <v>342.27187671006601</v>
      </c>
      <c r="Q35" s="16">
        <v>389.67473232364</v>
      </c>
      <c r="R35" s="16">
        <v>452.88560564419703</v>
      </c>
      <c r="S35" s="16">
        <v>452.36351432444201</v>
      </c>
      <c r="T35" s="16">
        <v>404.79743500380499</v>
      </c>
      <c r="U35" s="16">
        <v>395.32265726798101</v>
      </c>
      <c r="V35" s="16">
        <v>500.31756413530502</v>
      </c>
      <c r="W35" s="16">
        <v>425.931424134662</v>
      </c>
      <c r="X35" s="16">
        <v>524.84010700720398</v>
      </c>
      <c r="Y35" s="16">
        <v>522.67134457708403</v>
      </c>
      <c r="Z35" s="16">
        <v>495.75955948655701</v>
      </c>
      <c r="AA35" s="16">
        <v>492.30543700099702</v>
      </c>
    </row>
    <row r="36" spans="1:27" ht="16.5" thickTop="1" thickBot="1" x14ac:dyDescent="0.3">
      <c r="A36" s="7"/>
      <c r="B36" s="7"/>
      <c r="C36" s="19" t="s">
        <v>18</v>
      </c>
      <c r="D36" s="16">
        <v>51.723701782746502</v>
      </c>
      <c r="E36" s="16">
        <v>49.143054770078599</v>
      </c>
      <c r="F36" s="16">
        <v>252.12082038802899</v>
      </c>
      <c r="G36" s="16">
        <v>427.98004418802702</v>
      </c>
      <c r="H36" s="16">
        <v>454.51677147233301</v>
      </c>
      <c r="I36" s="16">
        <v>499.653548153484</v>
      </c>
      <c r="J36" s="16">
        <v>694.82485886654297</v>
      </c>
      <c r="K36" s="16">
        <v>713.92311546892802</v>
      </c>
      <c r="L36" s="16">
        <v>878.05863647379294</v>
      </c>
      <c r="M36" s="16">
        <v>791.49195086343195</v>
      </c>
      <c r="N36" s="16">
        <v>973.10309718628105</v>
      </c>
      <c r="O36" s="16">
        <v>1038.3512905835601</v>
      </c>
      <c r="P36" s="16">
        <v>1216.3518925430501</v>
      </c>
      <c r="Q36" s="16">
        <v>1182.16154908966</v>
      </c>
      <c r="R36" s="16">
        <v>1323.2705933591401</v>
      </c>
      <c r="S36" s="16">
        <v>1744.8590166223401</v>
      </c>
      <c r="T36" s="16">
        <v>1756.6202137237699</v>
      </c>
      <c r="U36" s="16">
        <v>2300.5821739031799</v>
      </c>
      <c r="V36" s="16">
        <v>2239.44846136981</v>
      </c>
      <c r="W36" s="16">
        <v>1991.00622993311</v>
      </c>
      <c r="X36" s="16">
        <v>2017.50856558841</v>
      </c>
      <c r="Y36" s="16">
        <v>2389.0212541369401</v>
      </c>
      <c r="Z36" s="16">
        <v>2570.54407429809</v>
      </c>
      <c r="AA36" s="16">
        <v>2336.6118379417999</v>
      </c>
    </row>
    <row r="37" spans="1:27" ht="16.5" thickTop="1" thickBot="1" x14ac:dyDescent="0.3">
      <c r="A37" s="7"/>
      <c r="B37" s="7"/>
      <c r="C37" s="3" t="s">
        <v>29</v>
      </c>
      <c r="D37" s="21">
        <v>219.95958559410701</v>
      </c>
      <c r="E37" s="21">
        <v>258.91663059566599</v>
      </c>
      <c r="F37" s="21">
        <v>158.917542224524</v>
      </c>
      <c r="G37" s="21">
        <v>297.230594283806</v>
      </c>
      <c r="H37" s="21">
        <v>210.910722026874</v>
      </c>
      <c r="I37" s="21">
        <v>122.15551395414499</v>
      </c>
      <c r="J37" s="21">
        <v>166.49362946964601</v>
      </c>
      <c r="K37" s="21">
        <v>239.85887510585101</v>
      </c>
      <c r="L37" s="21">
        <v>170.09628424052701</v>
      </c>
      <c r="M37" s="21">
        <v>370.48683614649798</v>
      </c>
      <c r="N37" s="21">
        <v>258.30670467677197</v>
      </c>
      <c r="O37" s="21">
        <v>142.62990083312701</v>
      </c>
      <c r="P37" s="21">
        <v>272.29218427789698</v>
      </c>
      <c r="Q37" s="21">
        <v>221.29540182487</v>
      </c>
      <c r="R37" s="21">
        <v>147.98581363033699</v>
      </c>
      <c r="S37" s="21">
        <v>88.614822781075404</v>
      </c>
      <c r="T37" s="21">
        <v>226.79774991351999</v>
      </c>
      <c r="U37" s="21">
        <v>196.74706374729601</v>
      </c>
      <c r="V37" s="21">
        <v>192.092906990046</v>
      </c>
      <c r="W37" s="21">
        <v>183.885452506268</v>
      </c>
      <c r="X37" s="21">
        <v>114.725686365549</v>
      </c>
      <c r="Y37" s="21">
        <v>199.58318940767199</v>
      </c>
      <c r="Z37" s="21">
        <v>242.43777056133601</v>
      </c>
      <c r="AA37" s="21">
        <v>375.92550470874301</v>
      </c>
    </row>
    <row r="38" spans="1:27" ht="15.75" thickTop="1" x14ac:dyDescent="0.25">
      <c r="C38" s="49" t="s">
        <v>25</v>
      </c>
      <c r="D38" s="14">
        <v>235.444999999999</v>
      </c>
      <c r="E38" s="14">
        <v>236.52999999999901</v>
      </c>
      <c r="F38" s="14">
        <v>235.444999999999</v>
      </c>
      <c r="G38" s="14">
        <v>236.52999999999901</v>
      </c>
      <c r="H38" s="14">
        <v>245.439999999999</v>
      </c>
      <c r="I38" s="14">
        <v>254.349999999999</v>
      </c>
      <c r="J38" s="14">
        <v>261.07499999999902</v>
      </c>
      <c r="K38" s="14">
        <v>267.79999999999899</v>
      </c>
      <c r="L38" s="14">
        <v>261.07499999999902</v>
      </c>
      <c r="M38" s="14">
        <v>267.79999999999899</v>
      </c>
      <c r="N38" s="14">
        <v>281.48499999999899</v>
      </c>
      <c r="O38" s="14">
        <v>267.79999999999899</v>
      </c>
      <c r="P38" s="14">
        <v>490.18999999999897</v>
      </c>
      <c r="Q38" s="14">
        <v>495.159999999999</v>
      </c>
      <c r="R38" s="14">
        <v>514.24999999999898</v>
      </c>
      <c r="S38" s="14">
        <v>495.159999999999</v>
      </c>
      <c r="T38" s="14">
        <v>490.18999999999897</v>
      </c>
      <c r="U38" s="14">
        <v>485.219999999999</v>
      </c>
      <c r="V38" s="14">
        <v>490.18999999999897</v>
      </c>
      <c r="W38" s="14">
        <v>495.159999999999</v>
      </c>
      <c r="X38" s="14">
        <v>490.18999999999897</v>
      </c>
      <c r="Y38" s="14">
        <v>495.159999999999</v>
      </c>
      <c r="Z38" s="14">
        <v>490.18999999999897</v>
      </c>
      <c r="AA38" s="14">
        <v>485.219999999999</v>
      </c>
    </row>
    <row r="39" spans="1:27" x14ac:dyDescent="0.25">
      <c r="C39" s="5"/>
    </row>
    <row r="40" spans="1:27" ht="18.75" x14ac:dyDescent="0.25">
      <c r="C40" s="13" t="s">
        <v>16</v>
      </c>
    </row>
    <row r="41" spans="1:27" x14ac:dyDescent="0.25">
      <c r="C41" s="5"/>
    </row>
    <row r="42" spans="1:27" x14ac:dyDescent="0.25">
      <c r="C42" s="1"/>
      <c r="D42" s="51" t="s">
        <v>13</v>
      </c>
      <c r="E42" s="51"/>
      <c r="F42" s="51"/>
      <c r="G42" s="51"/>
      <c r="H42" s="52"/>
      <c r="I42" s="6"/>
      <c r="N42" s="51" t="s">
        <v>14</v>
      </c>
      <c r="O42" s="51"/>
      <c r="P42" s="51"/>
      <c r="Q42" s="51"/>
      <c r="R42" s="52"/>
    </row>
    <row r="43" spans="1:27" ht="30" customHeight="1" thickBot="1" x14ac:dyDescent="0.3">
      <c r="C43" s="2"/>
      <c r="D43" s="19" t="s">
        <v>0</v>
      </c>
      <c r="E43" s="19" t="s">
        <v>1</v>
      </c>
      <c r="F43" s="19" t="s">
        <v>2</v>
      </c>
      <c r="G43" s="19" t="s">
        <v>3</v>
      </c>
      <c r="H43" s="50" t="s">
        <v>22</v>
      </c>
      <c r="I43" s="50"/>
      <c r="N43" s="19" t="s">
        <v>0</v>
      </c>
      <c r="O43" s="19" t="s">
        <v>1</v>
      </c>
      <c r="P43" s="19" t="s">
        <v>2</v>
      </c>
      <c r="Q43" s="19" t="s">
        <v>3</v>
      </c>
      <c r="R43" s="50" t="s">
        <v>22</v>
      </c>
      <c r="S43" s="50"/>
    </row>
    <row r="44" spans="1:27" ht="16.5" thickTop="1" thickBot="1" x14ac:dyDescent="0.3">
      <c r="C44" s="3" t="s">
        <v>12</v>
      </c>
      <c r="D44" s="8">
        <f t="shared" ref="D44:D59" si="0">D5</f>
        <v>1370.1969999999901</v>
      </c>
      <c r="E44" s="8">
        <f t="shared" ref="E44:E59" si="1">I5</f>
        <v>3110.65399999999</v>
      </c>
      <c r="F44" s="8">
        <f t="shared" ref="F44:F59" si="2">O5</f>
        <v>4019.1999999999898</v>
      </c>
      <c r="G44" s="8">
        <f t="shared" ref="G44:G59" si="3">AA5</f>
        <v>4660.67399999999</v>
      </c>
      <c r="H44" s="8">
        <v>102630.74074999899</v>
      </c>
      <c r="I44" s="26" t="s">
        <v>19</v>
      </c>
      <c r="M44" s="3" t="s">
        <v>12</v>
      </c>
      <c r="N44" s="12">
        <f t="shared" ref="N44:N59" si="4">D23</f>
        <v>195.063749999999</v>
      </c>
      <c r="O44" s="12">
        <f t="shared" ref="O44:O59" si="5">I23</f>
        <v>1068.2474999999999</v>
      </c>
      <c r="P44" s="12">
        <f t="shared" ref="P44:P59" si="6">O23</f>
        <v>1603.90199999999</v>
      </c>
      <c r="Q44" s="12">
        <f t="shared" ref="Q44:Q59" si="7">AA23</f>
        <v>2461.7325000000001</v>
      </c>
      <c r="R44" s="10">
        <v>53605.308499999999</v>
      </c>
      <c r="S44" s="26" t="s">
        <v>19</v>
      </c>
    </row>
    <row r="45" spans="1:27" ht="15.75" thickTop="1" x14ac:dyDescent="0.25">
      <c r="C45" s="49" t="s">
        <v>4</v>
      </c>
      <c r="D45" s="11">
        <f t="shared" si="0"/>
        <v>2613.0584208872101</v>
      </c>
      <c r="E45" s="11">
        <f t="shared" si="1"/>
        <v>3986.3977348600101</v>
      </c>
      <c r="F45" s="11">
        <f t="shared" si="2"/>
        <v>3408.29266086295</v>
      </c>
      <c r="G45" s="11">
        <f t="shared" si="3"/>
        <v>4271.79687207809</v>
      </c>
      <c r="H45" s="9">
        <v>107521.73464444101</v>
      </c>
      <c r="I45" s="23">
        <f t="shared" ref="I45:I59" si="8">H45/$H$44</f>
        <v>1.0476562271566969</v>
      </c>
      <c r="M45" s="49" t="s">
        <v>4</v>
      </c>
      <c r="N45" s="31">
        <f t="shared" si="4"/>
        <v>230.67366515202499</v>
      </c>
      <c r="O45" s="31">
        <f t="shared" si="5"/>
        <v>629.57869755160698</v>
      </c>
      <c r="P45" s="31">
        <f t="shared" si="6"/>
        <v>1000.6852212098501</v>
      </c>
      <c r="Q45" s="31">
        <f t="shared" si="7"/>
        <v>1108.74969084141</v>
      </c>
      <c r="R45" s="32">
        <v>30374.065500298901</v>
      </c>
      <c r="S45" s="23">
        <f t="shared" ref="S45:S59" si="9">R45/$R$44</f>
        <v>0.56662420850164308</v>
      </c>
    </row>
    <row r="46" spans="1:27" x14ac:dyDescent="0.25">
      <c r="C46" s="49" t="s">
        <v>5</v>
      </c>
      <c r="D46" s="11">
        <f t="shared" si="0"/>
        <v>1636.9154958947399</v>
      </c>
      <c r="E46" s="11">
        <f t="shared" si="1"/>
        <v>4591.6114573836303</v>
      </c>
      <c r="F46" s="11">
        <f t="shared" si="2"/>
        <v>5701.3578363755296</v>
      </c>
      <c r="G46" s="11">
        <f t="shared" si="3"/>
        <v>5543.9247775336798</v>
      </c>
      <c r="H46" s="9">
        <v>141469.66903895099</v>
      </c>
      <c r="I46" s="27">
        <f t="shared" si="8"/>
        <v>1.3784336740154766</v>
      </c>
      <c r="M46" s="49" t="s">
        <v>5</v>
      </c>
      <c r="N46" s="31">
        <f t="shared" si="4"/>
        <v>200.26260281723401</v>
      </c>
      <c r="O46" s="31">
        <f t="shared" si="5"/>
        <v>676.91890470058001</v>
      </c>
      <c r="P46" s="31">
        <f t="shared" si="6"/>
        <v>1158.0255841758101</v>
      </c>
      <c r="Q46" s="31">
        <f t="shared" si="7"/>
        <v>1523.2573180187601</v>
      </c>
      <c r="R46" s="32">
        <v>27933.662265735999</v>
      </c>
      <c r="S46" s="24">
        <f t="shared" si="9"/>
        <v>0.52109880620752325</v>
      </c>
    </row>
    <row r="47" spans="1:27" x14ac:dyDescent="0.25">
      <c r="C47" s="49" t="s">
        <v>6</v>
      </c>
      <c r="D47" s="11">
        <f t="shared" si="0"/>
        <v>1966.1505147366299</v>
      </c>
      <c r="E47" s="11">
        <f t="shared" si="1"/>
        <v>5355.1862354265904</v>
      </c>
      <c r="F47" s="11">
        <f t="shared" si="2"/>
        <v>6400.9174426811396</v>
      </c>
      <c r="G47" s="11">
        <f t="shared" si="3"/>
        <v>6257.6869452174196</v>
      </c>
      <c r="H47" s="9">
        <v>152669.751296492</v>
      </c>
      <c r="I47" s="27">
        <f t="shared" si="8"/>
        <v>1.487563571896888</v>
      </c>
      <c r="M47" s="49" t="s">
        <v>6</v>
      </c>
      <c r="N47" s="31">
        <f t="shared" si="4"/>
        <v>189.53203166395099</v>
      </c>
      <c r="O47" s="31">
        <f t="shared" si="5"/>
        <v>926.89560801515995</v>
      </c>
      <c r="P47" s="31">
        <f t="shared" si="6"/>
        <v>1125.3199622986999</v>
      </c>
      <c r="Q47" s="31">
        <f t="shared" si="7"/>
        <v>1683.83694255308</v>
      </c>
      <c r="R47" s="32">
        <v>37422.938847382502</v>
      </c>
      <c r="S47" s="24">
        <f t="shared" si="9"/>
        <v>0.69812001636708243</v>
      </c>
    </row>
    <row r="48" spans="1:27" x14ac:dyDescent="0.25">
      <c r="C48" s="49" t="s">
        <v>7</v>
      </c>
      <c r="D48" s="11">
        <f t="shared" si="0"/>
        <v>1128.7496857671099</v>
      </c>
      <c r="E48" s="11">
        <f t="shared" si="1"/>
        <v>3639.5198387268201</v>
      </c>
      <c r="F48" s="11">
        <f t="shared" si="2"/>
        <v>4621.0241710524997</v>
      </c>
      <c r="G48" s="11">
        <f t="shared" si="3"/>
        <v>5474.0498275991404</v>
      </c>
      <c r="H48" s="9">
        <v>117899.97002606301</v>
      </c>
      <c r="I48" s="27">
        <f t="shared" si="8"/>
        <v>1.1487783208469551</v>
      </c>
      <c r="M48" s="49" t="s">
        <v>7</v>
      </c>
      <c r="N48" s="31">
        <f t="shared" si="4"/>
        <v>182.71245360925701</v>
      </c>
      <c r="O48" s="31">
        <f t="shared" si="5"/>
        <v>802.160711845008</v>
      </c>
      <c r="P48" s="31">
        <f t="shared" si="6"/>
        <v>1128.92578170362</v>
      </c>
      <c r="Q48" s="31">
        <f t="shared" si="7"/>
        <v>1737.21473042658</v>
      </c>
      <c r="R48" s="32">
        <v>33846.308942527401</v>
      </c>
      <c r="S48" s="24">
        <f t="shared" si="9"/>
        <v>0.63139845454909382</v>
      </c>
    </row>
    <row r="49" spans="3:20" x14ac:dyDescent="0.25">
      <c r="C49" s="49" t="s">
        <v>8</v>
      </c>
      <c r="D49" s="11">
        <f t="shared" si="0"/>
        <v>872.17232714946999</v>
      </c>
      <c r="E49" s="11">
        <f t="shared" si="1"/>
        <v>3635.5039217143699</v>
      </c>
      <c r="F49" s="11">
        <f t="shared" si="2"/>
        <v>4022.1950292668998</v>
      </c>
      <c r="G49" s="11">
        <f t="shared" si="3"/>
        <v>4863.1642208657704</v>
      </c>
      <c r="H49" s="9">
        <v>111766.58316230599</v>
      </c>
      <c r="I49" s="27">
        <f t="shared" si="8"/>
        <v>1.0890166274309687</v>
      </c>
      <c r="M49" s="49" t="s">
        <v>8</v>
      </c>
      <c r="N49" s="31">
        <f t="shared" si="4"/>
        <v>163.340516791303</v>
      </c>
      <c r="O49" s="31">
        <f t="shared" si="5"/>
        <v>953.59315944978005</v>
      </c>
      <c r="P49" s="31">
        <f t="shared" si="6"/>
        <v>1191.00212882649</v>
      </c>
      <c r="Q49" s="31">
        <f t="shared" si="7"/>
        <v>1761.2787104474901</v>
      </c>
      <c r="R49" s="32">
        <v>37945.224685369998</v>
      </c>
      <c r="S49" s="24">
        <f t="shared" si="9"/>
        <v>0.70786319017956956</v>
      </c>
    </row>
    <row r="50" spans="3:20" x14ac:dyDescent="0.25">
      <c r="C50" s="49" t="s">
        <v>9</v>
      </c>
      <c r="D50" s="11">
        <f t="shared" si="0"/>
        <v>1024.6383605942899</v>
      </c>
      <c r="E50" s="11">
        <f t="shared" si="1"/>
        <v>2940.1745291288798</v>
      </c>
      <c r="F50" s="11">
        <f t="shared" si="2"/>
        <v>3810.7085550355901</v>
      </c>
      <c r="G50" s="11">
        <f t="shared" si="3"/>
        <v>4219.2913845509202</v>
      </c>
      <c r="H50" s="9">
        <v>100651.157531206</v>
      </c>
      <c r="I50" s="27">
        <f t="shared" si="8"/>
        <v>0.98071159572339917</v>
      </c>
      <c r="M50" s="49" t="s">
        <v>9</v>
      </c>
      <c r="N50" s="31">
        <f t="shared" si="4"/>
        <v>220.66391149890899</v>
      </c>
      <c r="O50" s="31">
        <f t="shared" si="5"/>
        <v>1089.2647602146701</v>
      </c>
      <c r="P50" s="31">
        <f t="shared" si="6"/>
        <v>1357.4609217396601</v>
      </c>
      <c r="Q50" s="31">
        <f t="shared" si="7"/>
        <v>2121.9715049639999</v>
      </c>
      <c r="R50" s="32">
        <v>47269.249238280798</v>
      </c>
      <c r="S50" s="24">
        <f t="shared" si="9"/>
        <v>0.88180164541503947</v>
      </c>
    </row>
    <row r="51" spans="3:20" ht="15.75" thickBot="1" x14ac:dyDescent="0.3">
      <c r="C51" s="19" t="s">
        <v>10</v>
      </c>
      <c r="D51" s="10">
        <f t="shared" si="0"/>
        <v>859.19665894555499</v>
      </c>
      <c r="E51" s="10">
        <f t="shared" si="1"/>
        <v>2870.3038924945399</v>
      </c>
      <c r="F51" s="10">
        <f t="shared" si="2"/>
        <v>3614.5419641080598</v>
      </c>
      <c r="G51" s="10">
        <f t="shared" si="3"/>
        <v>4135.4500235568503</v>
      </c>
      <c r="H51" s="10">
        <v>96412.843585691298</v>
      </c>
      <c r="I51" s="25">
        <f t="shared" si="8"/>
        <v>0.93941486616126024</v>
      </c>
      <c r="M51" s="19" t="s">
        <v>10</v>
      </c>
      <c r="N51" s="33">
        <f t="shared" si="4"/>
        <v>193.10412714317101</v>
      </c>
      <c r="O51" s="33">
        <f t="shared" si="5"/>
        <v>1057.52874734072</v>
      </c>
      <c r="P51" s="33">
        <f t="shared" si="6"/>
        <v>1345.8701187847701</v>
      </c>
      <c r="Q51" s="33">
        <f t="shared" si="7"/>
        <v>2135.92330495635</v>
      </c>
      <c r="R51" s="30">
        <v>50209.805098511701</v>
      </c>
      <c r="S51" s="25">
        <f t="shared" si="9"/>
        <v>0.93665732934848611</v>
      </c>
    </row>
    <row r="52" spans="3:20" ht="15.75" thickTop="1" x14ac:dyDescent="0.25">
      <c r="C52" s="49" t="s">
        <v>26</v>
      </c>
      <c r="D52" s="11">
        <f t="shared" si="0"/>
        <v>1033.2416653338501</v>
      </c>
      <c r="E52" s="11">
        <f t="shared" si="1"/>
        <v>2801.9363030678101</v>
      </c>
      <c r="F52" s="11">
        <f t="shared" si="2"/>
        <v>3705.0181612041802</v>
      </c>
      <c r="G52" s="11">
        <f t="shared" si="3"/>
        <v>4074.3054050945998</v>
      </c>
      <c r="H52" s="9">
        <v>101098.49182277</v>
      </c>
      <c r="I52" s="27">
        <f t="shared" si="8"/>
        <v>0.98507027313618012</v>
      </c>
      <c r="M52" s="49" t="s">
        <v>26</v>
      </c>
      <c r="N52" s="31">
        <f t="shared" si="4"/>
        <v>185.099845661003</v>
      </c>
      <c r="O52" s="31">
        <f t="shared" si="5"/>
        <v>1136.3316883032901</v>
      </c>
      <c r="P52" s="31">
        <f t="shared" si="6"/>
        <v>1451.75219896922</v>
      </c>
      <c r="Q52" s="31">
        <f t="shared" si="7"/>
        <v>2300.6712689119499</v>
      </c>
      <c r="R52" s="32">
        <v>52658.167685738401</v>
      </c>
      <c r="S52" s="24">
        <f t="shared" si="9"/>
        <v>0.98233121232271992</v>
      </c>
    </row>
    <row r="53" spans="3:20" x14ac:dyDescent="0.25">
      <c r="C53" s="49" t="s">
        <v>27</v>
      </c>
      <c r="D53" s="11">
        <f t="shared" si="0"/>
        <v>974.94208718362904</v>
      </c>
      <c r="E53" s="11">
        <f t="shared" si="1"/>
        <v>2964.5431812982702</v>
      </c>
      <c r="F53" s="11">
        <f t="shared" si="2"/>
        <v>3657.17694801367</v>
      </c>
      <c r="G53" s="11">
        <f t="shared" si="3"/>
        <v>4060.2684008261999</v>
      </c>
      <c r="H53" s="9">
        <v>100802.684650934</v>
      </c>
      <c r="I53" s="27">
        <f t="shared" si="8"/>
        <v>0.98218802587113729</v>
      </c>
      <c r="M53" s="49" t="s">
        <v>27</v>
      </c>
      <c r="N53" s="31">
        <f t="shared" si="4"/>
        <v>174.747794797631</v>
      </c>
      <c r="O53" s="31">
        <f t="shared" si="5"/>
        <v>1107.3175638820101</v>
      </c>
      <c r="P53" s="31">
        <f t="shared" si="6"/>
        <v>1405.1894051530601</v>
      </c>
      <c r="Q53" s="31">
        <f t="shared" si="7"/>
        <v>2128.6133052207001</v>
      </c>
      <c r="R53" s="32">
        <v>49005.963065976903</v>
      </c>
      <c r="S53" s="24">
        <f t="shared" si="9"/>
        <v>0.91419981410939744</v>
      </c>
    </row>
    <row r="54" spans="3:20" ht="15.75" thickBot="1" x14ac:dyDescent="0.3">
      <c r="C54" s="19" t="s">
        <v>28</v>
      </c>
      <c r="D54" s="10">
        <f t="shared" si="0"/>
        <v>885.58371994765798</v>
      </c>
      <c r="E54" s="10">
        <f t="shared" si="1"/>
        <v>2609.9881628500598</v>
      </c>
      <c r="F54" s="10">
        <f t="shared" si="2"/>
        <v>3251.9351438134299</v>
      </c>
      <c r="G54" s="10">
        <f t="shared" si="3"/>
        <v>4014.9444144696499</v>
      </c>
      <c r="H54" s="10">
        <v>92980.910016232199</v>
      </c>
      <c r="I54" s="27">
        <f t="shared" si="8"/>
        <v>0.90597524033005783</v>
      </c>
      <c r="M54" s="19" t="s">
        <v>28</v>
      </c>
      <c r="N54" s="33">
        <f t="shared" si="4"/>
        <v>139.52572082625801</v>
      </c>
      <c r="O54" s="33">
        <f t="shared" si="5"/>
        <v>891.46183475248199</v>
      </c>
      <c r="P54" s="33">
        <f t="shared" si="6"/>
        <v>1085.4112087451999</v>
      </c>
      <c r="Q54" s="33">
        <f t="shared" si="7"/>
        <v>1814.73512921152</v>
      </c>
      <c r="R54" s="30">
        <v>40975.832891380604</v>
      </c>
      <c r="S54" s="25">
        <f t="shared" si="9"/>
        <v>0.76439878881362289</v>
      </c>
    </row>
    <row r="55" spans="3:20" ht="16.5" thickTop="1" thickBot="1" x14ac:dyDescent="0.3">
      <c r="C55" s="3" t="s">
        <v>15</v>
      </c>
      <c r="D55" s="8">
        <f t="shared" si="0"/>
        <v>461.11999999999898</v>
      </c>
      <c r="E55" s="8">
        <f t="shared" si="1"/>
        <v>650.45999999999503</v>
      </c>
      <c r="F55" s="8">
        <f t="shared" si="2"/>
        <v>675.23000000000104</v>
      </c>
      <c r="G55" s="8">
        <f t="shared" si="3"/>
        <v>1484.6599999999901</v>
      </c>
      <c r="H55" s="8">
        <v>36708.439999999799</v>
      </c>
      <c r="I55" s="44">
        <f t="shared" si="8"/>
        <v>0.35767490063643681</v>
      </c>
      <c r="M55" s="3" t="s">
        <v>15</v>
      </c>
      <c r="N55" s="21">
        <f t="shared" si="4"/>
        <v>-2.7949999999998401</v>
      </c>
      <c r="O55" s="21">
        <f t="shared" si="5"/>
        <v>68.550000000000097</v>
      </c>
      <c r="P55" s="21">
        <f t="shared" si="6"/>
        <v>89.289999999999907</v>
      </c>
      <c r="Q55" s="21">
        <f t="shared" si="7"/>
        <v>185.1</v>
      </c>
      <c r="R55" s="22">
        <v>10040.105</v>
      </c>
      <c r="S55" s="44">
        <f t="shared" si="9"/>
        <v>0.18729684206555774</v>
      </c>
    </row>
    <row r="56" spans="3:20" ht="16.5" thickTop="1" thickBot="1" x14ac:dyDescent="0.3">
      <c r="C56" s="19" t="s">
        <v>11</v>
      </c>
      <c r="D56" s="10">
        <f t="shared" si="0"/>
        <v>1524.12857072886</v>
      </c>
      <c r="E56" s="10">
        <f t="shared" si="1"/>
        <v>2243.9728863824998</v>
      </c>
      <c r="F56" s="10">
        <f t="shared" si="2"/>
        <v>2670.7133325075802</v>
      </c>
      <c r="G56" s="10">
        <f t="shared" si="3"/>
        <v>2318.2606874510998</v>
      </c>
      <c r="H56" s="10">
        <v>58316.977739929498</v>
      </c>
      <c r="I56" s="34">
        <f t="shared" si="8"/>
        <v>0.56822134687681347</v>
      </c>
      <c r="J56" s="29"/>
      <c r="K56" s="1"/>
      <c r="L56" s="1"/>
      <c r="M56" s="19" t="s">
        <v>11</v>
      </c>
      <c r="N56" s="33">
        <f t="shared" si="4"/>
        <v>118.935015053965</v>
      </c>
      <c r="O56" s="33">
        <f t="shared" si="5"/>
        <v>378.9538982437</v>
      </c>
      <c r="P56" s="33">
        <f t="shared" si="6"/>
        <v>366.63184538286498</v>
      </c>
      <c r="Q56" s="33">
        <f t="shared" si="7"/>
        <v>492.30543700099702</v>
      </c>
      <c r="R56" s="33">
        <v>12561.409166473901</v>
      </c>
      <c r="S56" s="25">
        <f t="shared" si="9"/>
        <v>0.23433144063472558</v>
      </c>
      <c r="T56" s="36"/>
    </row>
    <row r="57" spans="3:20" ht="16.5" thickTop="1" thickBot="1" x14ac:dyDescent="0.3">
      <c r="C57" s="19" t="s">
        <v>18</v>
      </c>
      <c r="D57" s="10">
        <f t="shared" si="0"/>
        <v>559.63055774299198</v>
      </c>
      <c r="E57" s="10">
        <f t="shared" si="1"/>
        <v>1536.49719539537</v>
      </c>
      <c r="F57" s="10">
        <f t="shared" si="2"/>
        <v>1906.4714486360899</v>
      </c>
      <c r="G57" s="10">
        <f t="shared" si="3"/>
        <v>4823.5400300393203</v>
      </c>
      <c r="H57" s="10">
        <v>65932.995312576604</v>
      </c>
      <c r="I57" s="4">
        <f t="shared" si="8"/>
        <v>0.64242930364484629</v>
      </c>
      <c r="J57" s="29"/>
      <c r="K57" s="1"/>
      <c r="L57" s="1"/>
      <c r="M57" s="19" t="s">
        <v>18</v>
      </c>
      <c r="N57" s="33">
        <f t="shared" si="4"/>
        <v>51.723701782746502</v>
      </c>
      <c r="O57" s="33">
        <f t="shared" si="5"/>
        <v>499.653548153484</v>
      </c>
      <c r="P57" s="33">
        <f t="shared" si="6"/>
        <v>1038.3512905835601</v>
      </c>
      <c r="Q57" s="33">
        <f t="shared" si="7"/>
        <v>2336.6118379417999</v>
      </c>
      <c r="R57" s="33">
        <v>33430.158676097097</v>
      </c>
      <c r="S57" s="25">
        <f t="shared" si="9"/>
        <v>0.62363522590485787</v>
      </c>
      <c r="T57" s="36"/>
    </row>
    <row r="58" spans="3:20" ht="16.5" thickTop="1" thickBot="1" x14ac:dyDescent="0.3">
      <c r="C58" s="3" t="s">
        <v>29</v>
      </c>
      <c r="D58" s="8">
        <f t="shared" si="0"/>
        <v>246.14220563070299</v>
      </c>
      <c r="E58" s="8">
        <f t="shared" si="1"/>
        <v>575.053961083285</v>
      </c>
      <c r="F58" s="8">
        <f t="shared" si="2"/>
        <v>1227.39051103203</v>
      </c>
      <c r="G58" s="8">
        <f t="shared" si="3"/>
        <v>2950.0560330070498</v>
      </c>
      <c r="H58" s="8">
        <v>42899.626989870601</v>
      </c>
      <c r="I58" s="41">
        <f t="shared" si="8"/>
        <v>0.41799977936796701</v>
      </c>
      <c r="J58" s="29"/>
      <c r="K58" s="1"/>
      <c r="L58" s="1"/>
      <c r="M58" s="3" t="s">
        <v>29</v>
      </c>
      <c r="N58" s="21">
        <f t="shared" si="4"/>
        <v>219.95958559410701</v>
      </c>
      <c r="O58" s="21">
        <f t="shared" si="5"/>
        <v>122.15551395414499</v>
      </c>
      <c r="P58" s="21">
        <f t="shared" si="6"/>
        <v>142.62990083312701</v>
      </c>
      <c r="Q58" s="21">
        <f t="shared" si="7"/>
        <v>375.92550470874301</v>
      </c>
      <c r="R58" s="21">
        <v>5670.8379258961204</v>
      </c>
      <c r="S58" s="41">
        <f t="shared" si="9"/>
        <v>0.10578873780562462</v>
      </c>
      <c r="T58" s="6"/>
    </row>
    <row r="59" spans="3:20" ht="15.75" thickTop="1" x14ac:dyDescent="0.25">
      <c r="C59" s="49" t="s">
        <v>25</v>
      </c>
      <c r="D59" s="14">
        <f t="shared" si="0"/>
        <v>2072.1149999999998</v>
      </c>
      <c r="E59" s="14">
        <f t="shared" si="1"/>
        <v>2378.77</v>
      </c>
      <c r="F59" s="14">
        <f t="shared" si="2"/>
        <v>2756.62</v>
      </c>
      <c r="G59" s="14">
        <f t="shared" si="3"/>
        <v>2935.48</v>
      </c>
      <c r="H59" s="14">
        <v>77021.294999999896</v>
      </c>
      <c r="I59" s="4">
        <f t="shared" si="8"/>
        <v>0.75047002912721983</v>
      </c>
      <c r="M59" s="49" t="s">
        <v>25</v>
      </c>
      <c r="N59" s="31">
        <f t="shared" si="4"/>
        <v>235.444999999999</v>
      </c>
      <c r="O59" s="31">
        <f t="shared" si="5"/>
        <v>254.349999999999</v>
      </c>
      <c r="P59" s="31">
        <f t="shared" si="6"/>
        <v>267.79999999999899</v>
      </c>
      <c r="Q59" s="31">
        <f t="shared" si="7"/>
        <v>485.219999999999</v>
      </c>
      <c r="R59" s="31">
        <v>8759.2399999999907</v>
      </c>
      <c r="S59" s="4">
        <f t="shared" si="9"/>
        <v>0.16340247346958167</v>
      </c>
      <c r="T59" s="6"/>
    </row>
    <row r="60" spans="3:20" x14ac:dyDescent="0.25">
      <c r="C60" s="5"/>
    </row>
    <row r="61" spans="3:20" x14ac:dyDescent="0.25">
      <c r="C61" s="5"/>
      <c r="D61" s="47">
        <f>D44/1000</f>
        <v>1.3701969999999901</v>
      </c>
      <c r="E61" s="47">
        <f t="shared" ref="E61:H61" si="10">E44/1000</f>
        <v>3.11065399999999</v>
      </c>
      <c r="F61" s="47">
        <f t="shared" si="10"/>
        <v>4.0191999999999899</v>
      </c>
      <c r="G61" s="47">
        <f t="shared" si="10"/>
        <v>4.6606739999999895</v>
      </c>
      <c r="H61" s="47">
        <f t="shared" si="10"/>
        <v>102.63074074999899</v>
      </c>
      <c r="I61" s="26" t="s">
        <v>19</v>
      </c>
      <c r="N61" s="47">
        <f>N44/1000</f>
        <v>0.19506374999999901</v>
      </c>
      <c r="O61" s="47">
        <f t="shared" ref="O61:R61" si="11">O44/1000</f>
        <v>1.0682475</v>
      </c>
      <c r="P61" s="47">
        <f t="shared" si="11"/>
        <v>1.6039019999999899</v>
      </c>
      <c r="Q61" s="47">
        <f t="shared" si="11"/>
        <v>2.4617325000000001</v>
      </c>
      <c r="R61" s="47">
        <f t="shared" si="11"/>
        <v>53.6053085</v>
      </c>
      <c r="S61" s="26" t="s">
        <v>19</v>
      </c>
    </row>
    <row r="62" spans="3:20" x14ac:dyDescent="0.25">
      <c r="C62" s="5"/>
      <c r="D62" s="47">
        <f t="shared" ref="D62:H76" si="12">D45/1000</f>
        <v>2.6130584208872101</v>
      </c>
      <c r="E62" s="47">
        <f t="shared" si="12"/>
        <v>3.9863977348600099</v>
      </c>
      <c r="F62" s="47">
        <f t="shared" si="12"/>
        <v>3.40829266086295</v>
      </c>
      <c r="G62" s="47">
        <f t="shared" si="12"/>
        <v>4.2717968720780899</v>
      </c>
      <c r="H62" s="47">
        <f t="shared" si="12"/>
        <v>107.52173464444101</v>
      </c>
      <c r="I62" s="46">
        <f>I45</f>
        <v>1.0476562271566969</v>
      </c>
      <c r="N62" s="47">
        <f t="shared" ref="N62:R76" si="13">N45/1000</f>
        <v>0.230673665152025</v>
      </c>
      <c r="O62" s="47">
        <f t="shared" si="13"/>
        <v>0.629578697551607</v>
      </c>
      <c r="P62" s="47">
        <f t="shared" si="13"/>
        <v>1.00068522120985</v>
      </c>
      <c r="Q62" s="47">
        <f t="shared" si="13"/>
        <v>1.1087496908414101</v>
      </c>
      <c r="R62" s="47">
        <f t="shared" si="13"/>
        <v>30.374065500298901</v>
      </c>
      <c r="S62" s="46">
        <f>S45</f>
        <v>0.56662420850164308</v>
      </c>
    </row>
    <row r="63" spans="3:20" x14ac:dyDescent="0.25">
      <c r="C63" s="5"/>
      <c r="D63" s="47">
        <f t="shared" si="12"/>
        <v>1.6369154958947398</v>
      </c>
      <c r="E63" s="47">
        <f t="shared" si="12"/>
        <v>4.59161145738363</v>
      </c>
      <c r="F63" s="47">
        <f t="shared" si="12"/>
        <v>5.7013578363755295</v>
      </c>
      <c r="G63" s="47">
        <f t="shared" si="12"/>
        <v>5.5439247775336797</v>
      </c>
      <c r="H63" s="47">
        <f t="shared" si="12"/>
        <v>141.469669038951</v>
      </c>
      <c r="I63" s="46">
        <f t="shared" ref="I63:I76" si="14">I46</f>
        <v>1.3784336740154766</v>
      </c>
      <c r="J63" s="40"/>
      <c r="K63" s="40"/>
      <c r="L63" s="40"/>
      <c r="M63" s="40"/>
      <c r="N63" s="47">
        <f t="shared" si="13"/>
        <v>0.20026260281723401</v>
      </c>
      <c r="O63" s="47">
        <f t="shared" si="13"/>
        <v>0.67691890470058003</v>
      </c>
      <c r="P63" s="47">
        <f t="shared" si="13"/>
        <v>1.15802558417581</v>
      </c>
      <c r="Q63" s="47">
        <f t="shared" si="13"/>
        <v>1.5232573180187601</v>
      </c>
      <c r="R63" s="47">
        <f t="shared" si="13"/>
        <v>27.933662265735997</v>
      </c>
      <c r="S63" s="46">
        <f t="shared" ref="S63:S76" si="15">S46</f>
        <v>0.52109880620752325</v>
      </c>
    </row>
    <row r="64" spans="3:20" x14ac:dyDescent="0.25">
      <c r="D64" s="47">
        <f t="shared" si="12"/>
        <v>1.9661505147366298</v>
      </c>
      <c r="E64" s="47">
        <f t="shared" si="12"/>
        <v>5.35518623542659</v>
      </c>
      <c r="F64" s="47">
        <f t="shared" si="12"/>
        <v>6.4009174426811395</v>
      </c>
      <c r="G64" s="47">
        <f t="shared" si="12"/>
        <v>6.2576869452174195</v>
      </c>
      <c r="H64" s="47">
        <f t="shared" si="12"/>
        <v>152.669751296492</v>
      </c>
      <c r="I64" s="46">
        <f t="shared" si="14"/>
        <v>1.487563571896888</v>
      </c>
      <c r="N64" s="47">
        <f t="shared" si="13"/>
        <v>0.18953203166395099</v>
      </c>
      <c r="O64" s="47">
        <f t="shared" si="13"/>
        <v>0.92689560801515991</v>
      </c>
      <c r="P64" s="47">
        <f t="shared" si="13"/>
        <v>1.1253199622987</v>
      </c>
      <c r="Q64" s="47">
        <f t="shared" si="13"/>
        <v>1.6838369425530799</v>
      </c>
      <c r="R64" s="47">
        <f t="shared" si="13"/>
        <v>37.422938847382504</v>
      </c>
      <c r="S64" s="46">
        <f t="shared" si="15"/>
        <v>0.69812001636708243</v>
      </c>
    </row>
    <row r="65" spans="4:19" x14ac:dyDescent="0.25">
      <c r="D65" s="47">
        <f t="shared" si="12"/>
        <v>1.12874968576711</v>
      </c>
      <c r="E65" s="47">
        <f t="shared" si="12"/>
        <v>3.6395198387268199</v>
      </c>
      <c r="F65" s="47">
        <f t="shared" si="12"/>
        <v>4.6210241710524995</v>
      </c>
      <c r="G65" s="47">
        <f t="shared" si="12"/>
        <v>5.4740498275991403</v>
      </c>
      <c r="H65" s="47">
        <f t="shared" si="12"/>
        <v>117.899970026063</v>
      </c>
      <c r="I65" s="46">
        <f t="shared" si="14"/>
        <v>1.1487783208469551</v>
      </c>
      <c r="J65" s="37"/>
      <c r="K65" s="37"/>
      <c r="L65" s="37"/>
      <c r="M65" s="37"/>
      <c r="N65" s="47">
        <f t="shared" si="13"/>
        <v>0.182712453609257</v>
      </c>
      <c r="O65" s="47">
        <f t="shared" si="13"/>
        <v>0.80216071184500803</v>
      </c>
      <c r="P65" s="47">
        <f t="shared" si="13"/>
        <v>1.12892578170362</v>
      </c>
      <c r="Q65" s="47">
        <f t="shared" si="13"/>
        <v>1.7372147304265799</v>
      </c>
      <c r="R65" s="47">
        <f t="shared" si="13"/>
        <v>33.846308942527401</v>
      </c>
      <c r="S65" s="46">
        <f t="shared" si="15"/>
        <v>0.63139845454909382</v>
      </c>
    </row>
    <row r="66" spans="4:19" x14ac:dyDescent="0.25">
      <c r="D66" s="47">
        <f t="shared" si="12"/>
        <v>0.87217232714947002</v>
      </c>
      <c r="E66" s="47">
        <f t="shared" si="12"/>
        <v>3.6355039217143701</v>
      </c>
      <c r="F66" s="47">
        <f t="shared" si="12"/>
        <v>4.0221950292669</v>
      </c>
      <c r="G66" s="47">
        <f t="shared" si="12"/>
        <v>4.8631642208657704</v>
      </c>
      <c r="H66" s="47">
        <f t="shared" si="12"/>
        <v>111.76658316230599</v>
      </c>
      <c r="I66" s="46">
        <f t="shared" si="14"/>
        <v>1.0890166274309687</v>
      </c>
      <c r="N66" s="47">
        <f t="shared" si="13"/>
        <v>0.16334051679130301</v>
      </c>
      <c r="O66" s="47">
        <f t="shared" si="13"/>
        <v>0.95359315944978007</v>
      </c>
      <c r="P66" s="47">
        <f t="shared" si="13"/>
        <v>1.19100212882649</v>
      </c>
      <c r="Q66" s="47">
        <f t="shared" si="13"/>
        <v>1.7612787104474901</v>
      </c>
      <c r="R66" s="47">
        <f t="shared" si="13"/>
        <v>37.94522468537</v>
      </c>
      <c r="S66" s="46">
        <f t="shared" si="15"/>
        <v>0.70786319017956956</v>
      </c>
    </row>
    <row r="67" spans="4:19" x14ac:dyDescent="0.25">
      <c r="D67" s="47">
        <f t="shared" si="12"/>
        <v>1.0246383605942899</v>
      </c>
      <c r="E67" s="47">
        <f t="shared" si="12"/>
        <v>2.9401745291288797</v>
      </c>
      <c r="F67" s="47">
        <f t="shared" si="12"/>
        <v>3.8107085550355899</v>
      </c>
      <c r="G67" s="47">
        <f t="shared" si="12"/>
        <v>4.2192913845509201</v>
      </c>
      <c r="H67" s="47">
        <f t="shared" si="12"/>
        <v>100.651157531206</v>
      </c>
      <c r="I67" s="46">
        <f t="shared" si="14"/>
        <v>0.98071159572339917</v>
      </c>
      <c r="N67" s="47">
        <f t="shared" si="13"/>
        <v>0.22066391149890899</v>
      </c>
      <c r="O67" s="47">
        <f t="shared" si="13"/>
        <v>1.0892647602146701</v>
      </c>
      <c r="P67" s="47">
        <f t="shared" si="13"/>
        <v>1.35746092173966</v>
      </c>
      <c r="Q67" s="47">
        <f t="shared" si="13"/>
        <v>2.1219715049639998</v>
      </c>
      <c r="R67" s="47">
        <f t="shared" si="13"/>
        <v>47.2692492382808</v>
      </c>
      <c r="S67" s="46">
        <f t="shared" si="15"/>
        <v>0.88180164541503947</v>
      </c>
    </row>
    <row r="68" spans="4:19" x14ac:dyDescent="0.25">
      <c r="D68" s="47">
        <f t="shared" si="12"/>
        <v>0.85919665894555497</v>
      </c>
      <c r="E68" s="47">
        <f t="shared" si="12"/>
        <v>2.8703038924945399</v>
      </c>
      <c r="F68" s="47">
        <f t="shared" si="12"/>
        <v>3.6145419641080596</v>
      </c>
      <c r="G68" s="47">
        <f t="shared" si="12"/>
        <v>4.1354500235568503</v>
      </c>
      <c r="H68" s="47">
        <f t="shared" si="12"/>
        <v>96.412843585691292</v>
      </c>
      <c r="I68" s="46">
        <f t="shared" si="14"/>
        <v>0.93941486616126024</v>
      </c>
      <c r="N68" s="47">
        <f t="shared" si="13"/>
        <v>0.19310412714317102</v>
      </c>
      <c r="O68" s="47">
        <f t="shared" si="13"/>
        <v>1.05752874734072</v>
      </c>
      <c r="P68" s="47">
        <f t="shared" si="13"/>
        <v>1.3458701187847701</v>
      </c>
      <c r="Q68" s="47">
        <f t="shared" si="13"/>
        <v>2.13592330495635</v>
      </c>
      <c r="R68" s="47">
        <f t="shared" si="13"/>
        <v>50.209805098511701</v>
      </c>
      <c r="S68" s="46">
        <f t="shared" si="15"/>
        <v>0.93665732934848611</v>
      </c>
    </row>
    <row r="69" spans="4:19" x14ac:dyDescent="0.25">
      <c r="D69" s="47">
        <f t="shared" si="12"/>
        <v>1.0332416653338501</v>
      </c>
      <c r="E69" s="47">
        <f t="shared" si="12"/>
        <v>2.8019363030678099</v>
      </c>
      <c r="F69" s="47">
        <f t="shared" si="12"/>
        <v>3.7050181612041801</v>
      </c>
      <c r="G69" s="47">
        <f t="shared" si="12"/>
        <v>4.0743054050945995</v>
      </c>
      <c r="H69" s="47">
        <f t="shared" si="12"/>
        <v>101.09849182277</v>
      </c>
      <c r="I69" s="46">
        <f t="shared" si="14"/>
        <v>0.98507027313618012</v>
      </c>
      <c r="N69" s="47">
        <f t="shared" si="13"/>
        <v>0.18509984566100302</v>
      </c>
      <c r="O69" s="47">
        <f t="shared" si="13"/>
        <v>1.1363316883032901</v>
      </c>
      <c r="P69" s="47">
        <f t="shared" si="13"/>
        <v>1.4517521989692199</v>
      </c>
      <c r="Q69" s="47">
        <f t="shared" si="13"/>
        <v>2.30067126891195</v>
      </c>
      <c r="R69" s="47">
        <f t="shared" si="13"/>
        <v>52.658167685738398</v>
      </c>
      <c r="S69" s="46">
        <f t="shared" si="15"/>
        <v>0.98233121232271992</v>
      </c>
    </row>
    <row r="70" spans="4:19" x14ac:dyDescent="0.25">
      <c r="D70" s="47">
        <f t="shared" si="12"/>
        <v>0.97494208718362907</v>
      </c>
      <c r="E70" s="47">
        <f t="shared" si="12"/>
        <v>2.9645431812982701</v>
      </c>
      <c r="F70" s="47">
        <f t="shared" si="12"/>
        <v>3.65717694801367</v>
      </c>
      <c r="G70" s="47">
        <f t="shared" si="12"/>
        <v>4.0602684008261996</v>
      </c>
      <c r="H70" s="47">
        <f t="shared" si="12"/>
        <v>100.802684650934</v>
      </c>
      <c r="I70" s="46">
        <f t="shared" si="14"/>
        <v>0.98218802587113729</v>
      </c>
      <c r="N70" s="47">
        <f t="shared" si="13"/>
        <v>0.174747794797631</v>
      </c>
      <c r="O70" s="47">
        <f t="shared" si="13"/>
        <v>1.1073175638820101</v>
      </c>
      <c r="P70" s="47">
        <f t="shared" si="13"/>
        <v>1.40518940515306</v>
      </c>
      <c r="Q70" s="47">
        <f t="shared" si="13"/>
        <v>2.1286133052206999</v>
      </c>
      <c r="R70" s="47">
        <f t="shared" si="13"/>
        <v>49.0059630659769</v>
      </c>
      <c r="S70" s="46">
        <f t="shared" si="15"/>
        <v>0.91419981410939744</v>
      </c>
    </row>
    <row r="71" spans="4:19" x14ac:dyDescent="0.25">
      <c r="D71" s="47">
        <f t="shared" si="12"/>
        <v>0.88558371994765794</v>
      </c>
      <c r="E71" s="47">
        <f t="shared" si="12"/>
        <v>2.6099881628500596</v>
      </c>
      <c r="F71" s="47">
        <f t="shared" si="12"/>
        <v>3.2519351438134301</v>
      </c>
      <c r="G71" s="47">
        <f t="shared" si="12"/>
        <v>4.0149444144696496</v>
      </c>
      <c r="H71" s="47">
        <f t="shared" si="12"/>
        <v>92.980910016232201</v>
      </c>
      <c r="I71" s="46">
        <f t="shared" si="14"/>
        <v>0.90597524033005783</v>
      </c>
      <c r="N71" s="47">
        <f t="shared" si="13"/>
        <v>0.139525720826258</v>
      </c>
      <c r="O71" s="47">
        <f t="shared" si="13"/>
        <v>0.89146183475248197</v>
      </c>
      <c r="P71" s="47">
        <f t="shared" si="13"/>
        <v>1.0854112087451999</v>
      </c>
      <c r="Q71" s="47">
        <f t="shared" si="13"/>
        <v>1.8147351292115199</v>
      </c>
      <c r="R71" s="47">
        <f t="shared" si="13"/>
        <v>40.975832891380605</v>
      </c>
      <c r="S71" s="46">
        <f t="shared" si="15"/>
        <v>0.76439878881362289</v>
      </c>
    </row>
    <row r="72" spans="4:19" x14ac:dyDescent="0.25">
      <c r="D72" s="47">
        <f t="shared" si="12"/>
        <v>0.46111999999999898</v>
      </c>
      <c r="E72" s="47">
        <f t="shared" si="12"/>
        <v>0.65045999999999504</v>
      </c>
      <c r="F72" s="47">
        <f t="shared" si="12"/>
        <v>0.675230000000001</v>
      </c>
      <c r="G72" s="47">
        <f t="shared" si="12"/>
        <v>1.4846599999999901</v>
      </c>
      <c r="H72" s="47">
        <f t="shared" si="12"/>
        <v>36.708439999999797</v>
      </c>
      <c r="I72" s="46">
        <f t="shared" si="14"/>
        <v>0.35767490063643681</v>
      </c>
      <c r="N72" s="47">
        <f t="shared" si="13"/>
        <v>-2.7949999999998401E-3</v>
      </c>
      <c r="O72" s="47">
        <f t="shared" si="13"/>
        <v>6.8550000000000097E-2</v>
      </c>
      <c r="P72" s="47">
        <f t="shared" si="13"/>
        <v>8.9289999999999911E-2</v>
      </c>
      <c r="Q72" s="47">
        <f t="shared" si="13"/>
        <v>0.18509999999999999</v>
      </c>
      <c r="R72" s="47">
        <f t="shared" si="13"/>
        <v>10.040104999999999</v>
      </c>
      <c r="S72" s="46">
        <f t="shared" si="15"/>
        <v>0.18729684206555774</v>
      </c>
    </row>
    <row r="73" spans="4:19" x14ac:dyDescent="0.25">
      <c r="D73" s="47">
        <f t="shared" si="12"/>
        <v>1.5241285707288601</v>
      </c>
      <c r="E73" s="47">
        <f t="shared" si="12"/>
        <v>2.2439728863824997</v>
      </c>
      <c r="F73" s="47">
        <f t="shared" si="12"/>
        <v>2.6707133325075803</v>
      </c>
      <c r="G73" s="47">
        <f t="shared" si="12"/>
        <v>2.3182606874510996</v>
      </c>
      <c r="H73" s="47">
        <f t="shared" si="12"/>
        <v>58.316977739929499</v>
      </c>
      <c r="I73" s="46">
        <f t="shared" si="14"/>
        <v>0.56822134687681347</v>
      </c>
      <c r="N73" s="47">
        <f t="shared" si="13"/>
        <v>0.118935015053965</v>
      </c>
      <c r="O73" s="47">
        <f t="shared" si="13"/>
        <v>0.37895389824370002</v>
      </c>
      <c r="P73" s="47">
        <f t="shared" si="13"/>
        <v>0.36663184538286497</v>
      </c>
      <c r="Q73" s="47">
        <f t="shared" si="13"/>
        <v>0.49230543700099699</v>
      </c>
      <c r="R73" s="47">
        <f t="shared" si="13"/>
        <v>12.561409166473901</v>
      </c>
      <c r="S73" s="46">
        <f t="shared" si="15"/>
        <v>0.23433144063472558</v>
      </c>
    </row>
    <row r="74" spans="4:19" x14ac:dyDescent="0.25">
      <c r="D74" s="47">
        <f t="shared" si="12"/>
        <v>0.55963055774299197</v>
      </c>
      <c r="E74" s="47">
        <f t="shared" si="12"/>
        <v>1.5364971953953701</v>
      </c>
      <c r="F74" s="47">
        <f t="shared" si="12"/>
        <v>1.9064714486360899</v>
      </c>
      <c r="G74" s="47">
        <f t="shared" si="12"/>
        <v>4.8235400300393199</v>
      </c>
      <c r="H74" s="47">
        <f t="shared" si="12"/>
        <v>65.932995312576608</v>
      </c>
      <c r="I74" s="46">
        <f t="shared" si="14"/>
        <v>0.64242930364484629</v>
      </c>
      <c r="N74" s="47">
        <f t="shared" si="13"/>
        <v>5.1723701782746503E-2</v>
      </c>
      <c r="O74" s="47">
        <f t="shared" si="13"/>
        <v>0.49965354815348401</v>
      </c>
      <c r="P74" s="47">
        <f t="shared" si="13"/>
        <v>1.0383512905835601</v>
      </c>
      <c r="Q74" s="47">
        <f t="shared" si="13"/>
        <v>2.3366118379417999</v>
      </c>
      <c r="R74" s="47">
        <f t="shared" si="13"/>
        <v>33.430158676097093</v>
      </c>
      <c r="S74" s="46">
        <f t="shared" si="15"/>
        <v>0.62363522590485787</v>
      </c>
    </row>
    <row r="75" spans="4:19" x14ac:dyDescent="0.25">
      <c r="D75" s="47">
        <f t="shared" si="12"/>
        <v>0.24614220563070299</v>
      </c>
      <c r="E75" s="47">
        <f t="shared" si="12"/>
        <v>0.57505396108328499</v>
      </c>
      <c r="F75" s="47">
        <f t="shared" si="12"/>
        <v>1.22739051103203</v>
      </c>
      <c r="G75" s="47">
        <f t="shared" si="12"/>
        <v>2.95005603300705</v>
      </c>
      <c r="H75" s="47">
        <f t="shared" si="12"/>
        <v>42.899626989870605</v>
      </c>
      <c r="I75" s="46">
        <f t="shared" si="14"/>
        <v>0.41799977936796701</v>
      </c>
      <c r="N75" s="47">
        <f t="shared" si="13"/>
        <v>0.219959585594107</v>
      </c>
      <c r="O75" s="47">
        <f t="shared" si="13"/>
        <v>0.12215551395414499</v>
      </c>
      <c r="P75" s="47">
        <f t="shared" si="13"/>
        <v>0.14262990083312702</v>
      </c>
      <c r="Q75" s="47">
        <f t="shared" si="13"/>
        <v>0.37592550470874303</v>
      </c>
      <c r="R75" s="47">
        <f t="shared" si="13"/>
        <v>5.6708379258961203</v>
      </c>
      <c r="S75" s="46">
        <f t="shared" si="15"/>
        <v>0.10578873780562462</v>
      </c>
    </row>
    <row r="76" spans="4:19" x14ac:dyDescent="0.25">
      <c r="D76" s="47">
        <f t="shared" si="12"/>
        <v>2.0721149999999997</v>
      </c>
      <c r="E76" s="47">
        <f t="shared" si="12"/>
        <v>2.3787699999999998</v>
      </c>
      <c r="F76" s="47">
        <f t="shared" si="12"/>
        <v>2.7566199999999998</v>
      </c>
      <c r="G76" s="47">
        <f t="shared" si="12"/>
        <v>2.9354800000000001</v>
      </c>
      <c r="H76" s="47">
        <f t="shared" si="12"/>
        <v>77.021294999999895</v>
      </c>
      <c r="I76" s="46">
        <f t="shared" si="14"/>
        <v>0.75047002912721983</v>
      </c>
      <c r="N76" s="47">
        <f t="shared" si="13"/>
        <v>0.23544499999999899</v>
      </c>
      <c r="O76" s="47">
        <f t="shared" si="13"/>
        <v>0.25434999999999902</v>
      </c>
      <c r="P76" s="47">
        <f t="shared" si="13"/>
        <v>0.26779999999999898</v>
      </c>
      <c r="Q76" s="47">
        <f t="shared" si="13"/>
        <v>0.48521999999999899</v>
      </c>
      <c r="R76" s="47">
        <f t="shared" si="13"/>
        <v>8.7592399999999913</v>
      </c>
      <c r="S76" s="46">
        <f t="shared" si="15"/>
        <v>0.16340247346958167</v>
      </c>
    </row>
    <row r="77" spans="4:19" x14ac:dyDescent="0.25">
      <c r="D77" s="45"/>
      <c r="E77" s="45"/>
      <c r="F77" s="45"/>
      <c r="G77" s="45"/>
      <c r="H77" s="45"/>
      <c r="I77" s="45"/>
      <c r="N77" s="39"/>
      <c r="O77" s="39"/>
      <c r="P77" s="39"/>
      <c r="Q77" s="39"/>
      <c r="R77" s="39"/>
      <c r="S77" s="38"/>
    </row>
    <row r="78" spans="4:19" x14ac:dyDescent="0.25">
      <c r="D78" s="45"/>
      <c r="E78" s="45"/>
      <c r="F78" s="45"/>
      <c r="G78" s="45"/>
      <c r="H78" s="45"/>
      <c r="I78" s="45"/>
      <c r="N78" s="39"/>
      <c r="O78" s="39"/>
      <c r="P78" s="39"/>
      <c r="Q78" s="39"/>
      <c r="R78" s="39"/>
      <c r="S78" s="38"/>
    </row>
    <row r="79" spans="4:19" x14ac:dyDescent="0.25">
      <c r="D79" s="45"/>
      <c r="E79" s="45"/>
      <c r="F79" s="45"/>
      <c r="G79" s="45"/>
      <c r="H79" s="45"/>
      <c r="I79" s="45"/>
      <c r="N79" s="39"/>
      <c r="O79" s="39"/>
      <c r="P79" s="39"/>
      <c r="Q79" s="39"/>
      <c r="R79" s="39"/>
      <c r="S79" s="38"/>
    </row>
    <row r="80" spans="4:19" x14ac:dyDescent="0.25">
      <c r="D80" s="37"/>
      <c r="E80" s="37"/>
      <c r="F80" s="37"/>
      <c r="G80" s="37"/>
      <c r="H80" s="37"/>
      <c r="I80" s="38"/>
      <c r="N80" s="39"/>
      <c r="O80" s="39"/>
      <c r="P80" s="39"/>
      <c r="Q80" s="39"/>
      <c r="R80" s="39"/>
      <c r="S80" s="38"/>
    </row>
  </sheetData>
  <mergeCells count="8">
    <mergeCell ref="H43:I43"/>
    <mergeCell ref="R43:S43"/>
    <mergeCell ref="D3:G3"/>
    <mergeCell ref="H3:K3"/>
    <mergeCell ref="B5:B16"/>
    <mergeCell ref="B23:B33"/>
    <mergeCell ref="D42:H42"/>
    <mergeCell ref="N42:R4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0A4C-E5B2-4349-B1B5-B01C4567DE51}">
  <sheetPr codeName="Planilha2"/>
  <dimension ref="A1:AB80"/>
  <sheetViews>
    <sheetView showGridLines="0" topLeftCell="A34" workbookViewId="0">
      <selection activeCell="R44" sqref="R44:R59"/>
    </sheetView>
  </sheetViews>
  <sheetFormatPr defaultRowHeight="15" x14ac:dyDescent="0.25"/>
  <cols>
    <col min="3" max="3" width="23.85546875" customWidth="1"/>
    <col min="4" max="4" width="12" bestFit="1" customWidth="1"/>
    <col min="5" max="7" width="12.7109375" bestFit="1" customWidth="1"/>
    <col min="8" max="8" width="11.140625" style="7" customWidth="1"/>
    <col min="9" max="12" width="12.7109375" bestFit="1" customWidth="1"/>
    <col min="13" max="13" width="21.5703125" bestFit="1" customWidth="1"/>
    <col min="14" max="18" width="12.7109375" bestFit="1" customWidth="1"/>
    <col min="19" max="19" width="12" bestFit="1" customWidth="1"/>
    <col min="20" max="20" width="12.7109375" bestFit="1" customWidth="1"/>
    <col min="21" max="22" width="12" bestFit="1" customWidth="1"/>
    <col min="23" max="23" width="12.7109375" bestFit="1" customWidth="1"/>
    <col min="24" max="27" width="12" bestFit="1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8.75" x14ac:dyDescent="0.25">
      <c r="A2" s="1"/>
      <c r="B2" s="1"/>
      <c r="C2" s="13"/>
      <c r="H2"/>
      <c r="AB2" s="1"/>
    </row>
    <row r="3" spans="1:28" x14ac:dyDescent="0.25">
      <c r="A3" s="1"/>
      <c r="B3" s="1"/>
      <c r="C3" s="1"/>
      <c r="D3" s="51"/>
      <c r="E3" s="51"/>
      <c r="F3" s="51"/>
      <c r="G3" s="51"/>
      <c r="H3" s="51"/>
      <c r="I3" s="51"/>
      <c r="J3" s="51"/>
      <c r="K3" s="5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15.75" thickBot="1" x14ac:dyDescent="0.3">
      <c r="A4" s="1"/>
      <c r="B4" s="1"/>
      <c r="C4" s="19" t="s">
        <v>13</v>
      </c>
      <c r="D4" s="19">
        <v>1</v>
      </c>
      <c r="E4" s="19">
        <v>2</v>
      </c>
      <c r="F4" s="19">
        <v>3</v>
      </c>
      <c r="G4" s="19">
        <v>4</v>
      </c>
      <c r="H4" s="19">
        <v>5</v>
      </c>
      <c r="I4" s="19">
        <v>6</v>
      </c>
      <c r="J4" s="19">
        <v>7</v>
      </c>
      <c r="K4" s="19">
        <v>8</v>
      </c>
      <c r="L4" s="19">
        <v>9</v>
      </c>
      <c r="M4" s="19">
        <v>10</v>
      </c>
      <c r="N4" s="19">
        <v>11</v>
      </c>
      <c r="O4" s="19">
        <v>12</v>
      </c>
      <c r="P4" s="19">
        <v>13</v>
      </c>
      <c r="Q4" s="19">
        <v>14</v>
      </c>
      <c r="R4" s="19">
        <v>15</v>
      </c>
      <c r="S4" s="19">
        <v>16</v>
      </c>
      <c r="T4" s="19">
        <v>17</v>
      </c>
      <c r="U4" s="19">
        <v>18</v>
      </c>
      <c r="V4" s="19">
        <v>19</v>
      </c>
      <c r="W4" s="19">
        <v>20</v>
      </c>
      <c r="X4" s="19">
        <v>21</v>
      </c>
      <c r="Y4" s="19">
        <v>22</v>
      </c>
      <c r="Z4" s="19">
        <v>23</v>
      </c>
      <c r="AA4" s="19">
        <v>24</v>
      </c>
    </row>
    <row r="5" spans="1:28" ht="16.5" thickTop="1" thickBot="1" x14ac:dyDescent="0.3">
      <c r="A5" s="1"/>
      <c r="B5" s="51"/>
      <c r="C5" s="3" t="s">
        <v>17</v>
      </c>
      <c r="D5" s="15">
        <v>5350.3791874999997</v>
      </c>
      <c r="E5" s="15">
        <v>6304.2704402515701</v>
      </c>
      <c r="F5" s="15">
        <v>6797.5906329113895</v>
      </c>
      <c r="G5" s="15">
        <v>6892.8454140127396</v>
      </c>
      <c r="H5" s="15">
        <v>6807.0114743589702</v>
      </c>
      <c r="I5" s="15">
        <v>6860.5435483870897</v>
      </c>
      <c r="J5" s="15">
        <v>7026.0357792207797</v>
      </c>
      <c r="K5" s="15">
        <v>7054.69385620915</v>
      </c>
      <c r="L5" s="15">
        <v>7297.3093421052599</v>
      </c>
      <c r="M5" s="15">
        <v>7246.7807947019801</v>
      </c>
      <c r="N5" s="15">
        <v>7214.7050666666601</v>
      </c>
      <c r="O5" s="15">
        <v>7353.1129530201297</v>
      </c>
      <c r="P5" s="15">
        <v>7464.4119594594504</v>
      </c>
      <c r="Q5" s="15">
        <v>7392.1660544217602</v>
      </c>
      <c r="R5" s="15">
        <v>7443.7947260273904</v>
      </c>
      <c r="S5" s="15">
        <v>7660.6614482758596</v>
      </c>
      <c r="T5" s="15">
        <v>7554.93</v>
      </c>
      <c r="U5" s="15">
        <v>7737.3170629370597</v>
      </c>
      <c r="V5" s="15">
        <v>7532.4437323943603</v>
      </c>
      <c r="W5" s="15">
        <v>7816.4612056737496</v>
      </c>
      <c r="X5" s="15">
        <v>8006.53257142857</v>
      </c>
      <c r="Y5" s="15">
        <v>8146.6864748201397</v>
      </c>
      <c r="Z5" s="15">
        <v>8087.6902173913004</v>
      </c>
      <c r="AA5" s="15">
        <v>7938.48270072992</v>
      </c>
    </row>
    <row r="6" spans="1:28" ht="15.75" thickTop="1" x14ac:dyDescent="0.25">
      <c r="A6" s="1"/>
      <c r="B6" s="51"/>
      <c r="C6" s="28" t="s">
        <v>4</v>
      </c>
      <c r="D6" s="14">
        <v>8706.6923283446504</v>
      </c>
      <c r="E6" s="14">
        <v>9732.2222970367493</v>
      </c>
      <c r="F6" s="14">
        <v>9409.9571862751509</v>
      </c>
      <c r="G6" s="14">
        <v>9230.0546569257294</v>
      </c>
      <c r="H6" s="14">
        <v>8446.8062264186101</v>
      </c>
      <c r="I6" s="14">
        <v>8200.6334953531095</v>
      </c>
      <c r="J6" s="14">
        <v>8027.7573646957098</v>
      </c>
      <c r="K6" s="14">
        <v>8370.3941941005105</v>
      </c>
      <c r="L6" s="14">
        <v>8019.0855257180301</v>
      </c>
      <c r="M6" s="14">
        <v>8014.9883129320397</v>
      </c>
      <c r="N6" s="14">
        <v>7912.1208440978799</v>
      </c>
      <c r="O6" s="14">
        <v>8128.4971422111003</v>
      </c>
      <c r="P6" s="14">
        <v>8117.0773593041004</v>
      </c>
      <c r="Q6" s="14">
        <v>7785.0265447278398</v>
      </c>
      <c r="R6" s="14">
        <v>7639.6619778347904</v>
      </c>
      <c r="S6" s="14">
        <v>7744.2450817271701</v>
      </c>
      <c r="T6" s="14">
        <v>7774.0960786408295</v>
      </c>
      <c r="U6" s="14">
        <v>7900.8045223033396</v>
      </c>
      <c r="V6" s="14">
        <v>7911.0419375689398</v>
      </c>
      <c r="W6" s="14">
        <v>7995.10572927251</v>
      </c>
      <c r="X6" s="14">
        <v>8122.7559998655997</v>
      </c>
      <c r="Y6" s="14">
        <v>7957.2809612794699</v>
      </c>
      <c r="Z6" s="14">
        <v>7775.3378217035997</v>
      </c>
      <c r="AA6" s="14">
        <v>7580.6922317875496</v>
      </c>
    </row>
    <row r="7" spans="1:28" x14ac:dyDescent="0.25">
      <c r="A7" s="1"/>
      <c r="B7" s="51"/>
      <c r="C7" s="28" t="s">
        <v>5</v>
      </c>
      <c r="D7" s="14">
        <v>6623.34191572501</v>
      </c>
      <c r="E7" s="14">
        <v>7474.1762582517404</v>
      </c>
      <c r="F7" s="14">
        <v>8133.8157376423496</v>
      </c>
      <c r="G7" s="14">
        <v>8060.9318033037798</v>
      </c>
      <c r="H7" s="14">
        <v>7957.0558445856404</v>
      </c>
      <c r="I7" s="14">
        <v>8203.95413298526</v>
      </c>
      <c r="J7" s="14">
        <v>8040.4959992243002</v>
      </c>
      <c r="K7" s="14">
        <v>8189.4600676944101</v>
      </c>
      <c r="L7" s="14">
        <v>8224.4237540670092</v>
      </c>
      <c r="M7" s="14">
        <v>8211.6206490945005</v>
      </c>
      <c r="N7" s="14">
        <v>8181.5093411580401</v>
      </c>
      <c r="O7" s="14">
        <v>8225.7999989466607</v>
      </c>
      <c r="P7" s="14">
        <v>8458.0796519656906</v>
      </c>
      <c r="Q7" s="14">
        <v>8373.8971224670004</v>
      </c>
      <c r="R7" s="14">
        <v>8340.2905514415106</v>
      </c>
      <c r="S7" s="14">
        <v>8452.8165737078998</v>
      </c>
      <c r="T7" s="14">
        <v>8397.0413475018195</v>
      </c>
      <c r="U7" s="14">
        <v>8448.9098564419492</v>
      </c>
      <c r="V7" s="14">
        <v>8442.82156593318</v>
      </c>
      <c r="W7" s="14">
        <v>8430.0147238760692</v>
      </c>
      <c r="X7" s="14">
        <v>8334.0720969586091</v>
      </c>
      <c r="Y7" s="14">
        <v>8444.7609268984197</v>
      </c>
      <c r="Z7" s="14">
        <v>8497.0949278251792</v>
      </c>
      <c r="AA7" s="14">
        <v>8491.9609852242193</v>
      </c>
    </row>
    <row r="8" spans="1:28" x14ac:dyDescent="0.25">
      <c r="A8" s="1"/>
      <c r="B8" s="51"/>
      <c r="C8" s="28" t="s">
        <v>6</v>
      </c>
      <c r="D8" s="14">
        <v>6561.71257318469</v>
      </c>
      <c r="E8" s="14">
        <v>7961.7548685411402</v>
      </c>
      <c r="F8" s="14">
        <v>8651.0408632288108</v>
      </c>
      <c r="G8" s="14">
        <v>8410.9853309459195</v>
      </c>
      <c r="H8" s="14">
        <v>8178.12295726518</v>
      </c>
      <c r="I8" s="14">
        <v>8538.7931912067197</v>
      </c>
      <c r="J8" s="14">
        <v>8410.5155172105806</v>
      </c>
      <c r="K8" s="14">
        <v>8466.7525339514905</v>
      </c>
      <c r="L8" s="14">
        <v>8439.2215967814409</v>
      </c>
      <c r="M8" s="14">
        <v>8493.7533272015808</v>
      </c>
      <c r="N8" s="14">
        <v>8664.13978468811</v>
      </c>
      <c r="O8" s="14">
        <v>8869.4957505696293</v>
      </c>
      <c r="P8" s="14">
        <v>9022.6565003850701</v>
      </c>
      <c r="Q8" s="14">
        <v>9013.4683450500597</v>
      </c>
      <c r="R8" s="14">
        <v>8974.1189037455806</v>
      </c>
      <c r="S8" s="14">
        <v>9154.9704401268209</v>
      </c>
      <c r="T8" s="14">
        <v>9111.9495933281196</v>
      </c>
      <c r="U8" s="14">
        <v>9206.0941483249499</v>
      </c>
      <c r="V8" s="14">
        <v>9168.9864176704796</v>
      </c>
      <c r="W8" s="14">
        <v>9176.7411316701091</v>
      </c>
      <c r="X8" s="14">
        <v>9095.1989612211801</v>
      </c>
      <c r="Y8" s="14">
        <v>9280.09511912587</v>
      </c>
      <c r="Z8" s="14">
        <v>9362.5620987091697</v>
      </c>
      <c r="AA8" s="14">
        <v>9385.4731022525903</v>
      </c>
    </row>
    <row r="9" spans="1:28" x14ac:dyDescent="0.25">
      <c r="A9" s="1"/>
      <c r="B9" s="51"/>
      <c r="C9" s="28" t="s">
        <v>7</v>
      </c>
      <c r="D9" s="14">
        <v>5928.3090537453099</v>
      </c>
      <c r="E9" s="14">
        <v>6961.2480727989596</v>
      </c>
      <c r="F9" s="14">
        <v>7628.2596414494801</v>
      </c>
      <c r="G9" s="14">
        <v>7762.4120050082402</v>
      </c>
      <c r="H9" s="14">
        <v>7811.9996570210797</v>
      </c>
      <c r="I9" s="14">
        <v>7887.06283114505</v>
      </c>
      <c r="J9" s="14">
        <v>7825.4954679917701</v>
      </c>
      <c r="K9" s="14">
        <v>7763.6737056342099</v>
      </c>
      <c r="L9" s="14">
        <v>7746.6147493050703</v>
      </c>
      <c r="M9" s="14">
        <v>7754.0325561929303</v>
      </c>
      <c r="N9" s="14">
        <v>7688.6386719905004</v>
      </c>
      <c r="O9" s="14">
        <v>7838.9530077101399</v>
      </c>
      <c r="P9" s="14">
        <v>8006.6790882964096</v>
      </c>
      <c r="Q9" s="14">
        <v>8024.1916735631203</v>
      </c>
      <c r="R9" s="14">
        <v>8030.76494065112</v>
      </c>
      <c r="S9" s="14">
        <v>8222.0332651946192</v>
      </c>
      <c r="T9" s="14">
        <v>8221.2783747191806</v>
      </c>
      <c r="U9" s="14">
        <v>8351.6337880872197</v>
      </c>
      <c r="V9" s="14">
        <v>8365.2897892462206</v>
      </c>
      <c r="W9" s="14">
        <v>8299.4268456242298</v>
      </c>
      <c r="X9" s="14">
        <v>8271.7927156744609</v>
      </c>
      <c r="Y9" s="14">
        <v>8396.6209453603897</v>
      </c>
      <c r="Z9" s="14">
        <v>8440.3315943834896</v>
      </c>
      <c r="AA9" s="14">
        <v>8460.9143339646507</v>
      </c>
    </row>
    <row r="10" spans="1:28" x14ac:dyDescent="0.25">
      <c r="A10" s="1"/>
      <c r="B10" s="51"/>
      <c r="C10" s="28" t="s">
        <v>8</v>
      </c>
      <c r="D10" s="14">
        <v>5946.4630792615699</v>
      </c>
      <c r="E10" s="14">
        <v>6979.6954052073397</v>
      </c>
      <c r="F10" s="14">
        <v>7695.32047983547</v>
      </c>
      <c r="G10" s="14">
        <v>7776.7466334204601</v>
      </c>
      <c r="H10" s="14">
        <v>7669.9600068912196</v>
      </c>
      <c r="I10" s="14">
        <v>7672.2729815371504</v>
      </c>
      <c r="J10" s="14">
        <v>7526.2699144808203</v>
      </c>
      <c r="K10" s="14">
        <v>7489.92546258318</v>
      </c>
      <c r="L10" s="14">
        <v>7406.8620053722698</v>
      </c>
      <c r="M10" s="14">
        <v>7528.49391221321</v>
      </c>
      <c r="N10" s="14">
        <v>7526.2271407380103</v>
      </c>
      <c r="O10" s="14">
        <v>7639.8895900300004</v>
      </c>
      <c r="P10" s="14">
        <v>7737.2818864137598</v>
      </c>
      <c r="Q10" s="14">
        <v>7729.6710430940202</v>
      </c>
      <c r="R10" s="14">
        <v>7709.0125524265304</v>
      </c>
      <c r="S10" s="14">
        <v>7861.4206068828098</v>
      </c>
      <c r="T10" s="14">
        <v>7808.72287790054</v>
      </c>
      <c r="U10" s="14">
        <v>7915.7284033912701</v>
      </c>
      <c r="V10" s="14">
        <v>7929.0288874073603</v>
      </c>
      <c r="W10" s="14">
        <v>7861.46711802972</v>
      </c>
      <c r="X10" s="14">
        <v>7839.8424711740499</v>
      </c>
      <c r="Y10" s="14">
        <v>7971.6646745296102</v>
      </c>
      <c r="Z10" s="14">
        <v>7960.4689475397599</v>
      </c>
      <c r="AA10" s="14">
        <v>7985.4512123301201</v>
      </c>
    </row>
    <row r="11" spans="1:28" x14ac:dyDescent="0.25">
      <c r="A11" s="1"/>
      <c r="B11" s="51"/>
      <c r="C11" s="28" t="s">
        <v>9</v>
      </c>
      <c r="D11" s="14">
        <v>5814.1323307846596</v>
      </c>
      <c r="E11" s="14">
        <v>6687.5278387134804</v>
      </c>
      <c r="F11" s="14">
        <v>7260.3438193142101</v>
      </c>
      <c r="G11" s="14">
        <v>7292.9671004725997</v>
      </c>
      <c r="H11" s="14">
        <v>7332.3170174596598</v>
      </c>
      <c r="I11" s="14">
        <v>7451.3453635232399</v>
      </c>
      <c r="J11" s="14">
        <v>7304.5438697724703</v>
      </c>
      <c r="K11" s="14">
        <v>7268.8893412159296</v>
      </c>
      <c r="L11" s="14">
        <v>7259.2153523186998</v>
      </c>
      <c r="M11" s="14">
        <v>7304.7687142447603</v>
      </c>
      <c r="N11" s="14">
        <v>7205.8973836528503</v>
      </c>
      <c r="O11" s="14">
        <v>7316.7296715429702</v>
      </c>
      <c r="P11" s="14">
        <v>7407.0948176489901</v>
      </c>
      <c r="Q11" s="14">
        <v>7367.6705584920001</v>
      </c>
      <c r="R11" s="14">
        <v>7364.87868785924</v>
      </c>
      <c r="S11" s="14">
        <v>7536.4924145655395</v>
      </c>
      <c r="T11" s="14">
        <v>7514.4053671483698</v>
      </c>
      <c r="U11" s="14">
        <v>7691.4560808716496</v>
      </c>
      <c r="V11" s="14">
        <v>7681.4001066180399</v>
      </c>
      <c r="W11" s="14">
        <v>7566.5361901207198</v>
      </c>
      <c r="X11" s="14">
        <v>7530.6868365268201</v>
      </c>
      <c r="Y11" s="14">
        <v>7613.3609668691997</v>
      </c>
      <c r="Z11" s="14">
        <v>7591.4794398020204</v>
      </c>
      <c r="AA11" s="14">
        <v>7641.8538591234601</v>
      </c>
    </row>
    <row r="12" spans="1:28" ht="15.75" thickBot="1" x14ac:dyDescent="0.3">
      <c r="A12" s="1"/>
      <c r="B12" s="51"/>
      <c r="C12" s="19" t="s">
        <v>10</v>
      </c>
      <c r="D12" s="16">
        <v>5775.19845459112</v>
      </c>
      <c r="E12" s="16">
        <v>6694.4499529606701</v>
      </c>
      <c r="F12" s="16">
        <v>7332.3541737003798</v>
      </c>
      <c r="G12" s="16">
        <v>7433.93758644218</v>
      </c>
      <c r="H12" s="16">
        <v>7403.6837686743202</v>
      </c>
      <c r="I12" s="16">
        <v>7410.04501393803</v>
      </c>
      <c r="J12" s="16">
        <v>7299.5483908432197</v>
      </c>
      <c r="K12" s="16">
        <v>7253.5296016157899</v>
      </c>
      <c r="L12" s="16">
        <v>7214.2528147448102</v>
      </c>
      <c r="M12" s="16">
        <v>7260.6781450322496</v>
      </c>
      <c r="N12" s="16">
        <v>7167.5355436721402</v>
      </c>
      <c r="O12" s="16">
        <v>7275.6688697367599</v>
      </c>
      <c r="P12" s="16">
        <v>7362.6418083915696</v>
      </c>
      <c r="Q12" s="16">
        <v>7343.1106075032103</v>
      </c>
      <c r="R12" s="16">
        <v>7346.1138052510896</v>
      </c>
      <c r="S12" s="16">
        <v>7504.5812989410097</v>
      </c>
      <c r="T12" s="16">
        <v>7440.5054086180799</v>
      </c>
      <c r="U12" s="16">
        <v>7572.2069330038703</v>
      </c>
      <c r="V12" s="16">
        <v>7546.0553369075296</v>
      </c>
      <c r="W12" s="16">
        <v>7479.4291242300997</v>
      </c>
      <c r="X12" s="16">
        <v>7440.0251777359399</v>
      </c>
      <c r="Y12" s="16">
        <v>7565.8309789141204</v>
      </c>
      <c r="Z12" s="16">
        <v>7551.0425712243796</v>
      </c>
      <c r="AA12" s="16">
        <v>7600.9526785370799</v>
      </c>
    </row>
    <row r="13" spans="1:28" ht="15.75" thickTop="1" x14ac:dyDescent="0.25">
      <c r="A13" s="1"/>
      <c r="B13" s="51"/>
      <c r="C13" s="48" t="s">
        <v>26</v>
      </c>
      <c r="D13" s="14">
        <v>5844.00397061076</v>
      </c>
      <c r="E13" s="14">
        <v>6731.0011618155404</v>
      </c>
      <c r="F13" s="14">
        <v>7413.0289808318803</v>
      </c>
      <c r="G13" s="14">
        <v>7444.6040005573795</v>
      </c>
      <c r="H13" s="14">
        <v>7444.8319721016696</v>
      </c>
      <c r="I13" s="14">
        <v>7474.9497529022201</v>
      </c>
      <c r="J13" s="14">
        <v>7363.9602282356</v>
      </c>
      <c r="K13" s="14">
        <v>7321.2193823887301</v>
      </c>
      <c r="L13" s="14">
        <v>7280.5967570903504</v>
      </c>
      <c r="M13" s="14">
        <v>7305.6504525082601</v>
      </c>
      <c r="N13" s="14">
        <v>7209.1182539614601</v>
      </c>
      <c r="O13" s="14">
        <v>7331.5481686054</v>
      </c>
      <c r="P13" s="14">
        <v>7429.2982365525704</v>
      </c>
      <c r="Q13" s="14">
        <v>7455.68968616039</v>
      </c>
      <c r="R13" s="14">
        <v>7431.6457421026198</v>
      </c>
      <c r="S13" s="14">
        <v>7581.2376447931401</v>
      </c>
      <c r="T13" s="14">
        <v>7523.5262525509697</v>
      </c>
      <c r="U13" s="14">
        <v>7630.7999432094302</v>
      </c>
      <c r="V13" s="14">
        <v>7611.5185210248501</v>
      </c>
      <c r="W13" s="14">
        <v>7531.1038504771304</v>
      </c>
      <c r="X13" s="14">
        <v>7477.2568280249898</v>
      </c>
      <c r="Y13" s="14">
        <v>7593.6538486003501</v>
      </c>
      <c r="Z13" s="14">
        <v>7579.5758303721695</v>
      </c>
      <c r="AA13" s="14">
        <v>7636.9820081811404</v>
      </c>
    </row>
    <row r="14" spans="1:28" x14ac:dyDescent="0.25">
      <c r="A14" s="1"/>
      <c r="B14" s="51"/>
      <c r="C14" s="48" t="s">
        <v>27</v>
      </c>
      <c r="D14" s="14">
        <v>5863.1640074966199</v>
      </c>
      <c r="E14" s="14">
        <v>6704.9089834547203</v>
      </c>
      <c r="F14" s="14">
        <v>7379.2192221248697</v>
      </c>
      <c r="G14" s="14">
        <v>7399.5568409182097</v>
      </c>
      <c r="H14" s="14">
        <v>7414.3302476725303</v>
      </c>
      <c r="I14" s="14">
        <v>7461.8409563208697</v>
      </c>
      <c r="J14" s="14">
        <v>7354.5434572363301</v>
      </c>
      <c r="K14" s="14">
        <v>7328.4478990879797</v>
      </c>
      <c r="L14" s="14">
        <v>7278.2288221482304</v>
      </c>
      <c r="M14" s="14">
        <v>7307.5069253567499</v>
      </c>
      <c r="N14" s="14">
        <v>7211.1387708032198</v>
      </c>
      <c r="O14" s="14">
        <v>7311.4950460335904</v>
      </c>
      <c r="P14" s="14">
        <v>7410.5475466055204</v>
      </c>
      <c r="Q14" s="14">
        <v>7431.89297412613</v>
      </c>
      <c r="R14" s="14">
        <v>7403.0010105733099</v>
      </c>
      <c r="S14" s="14">
        <v>7555.5462018300896</v>
      </c>
      <c r="T14" s="14">
        <v>7515.6882340877</v>
      </c>
      <c r="U14" s="14">
        <v>7629.6850456136799</v>
      </c>
      <c r="V14" s="14">
        <v>7608.7448800062002</v>
      </c>
      <c r="W14" s="14">
        <v>7525.7892058080697</v>
      </c>
      <c r="X14" s="14">
        <v>7469.62724452149</v>
      </c>
      <c r="Y14" s="14">
        <v>7575.6400238041997</v>
      </c>
      <c r="Z14" s="14">
        <v>7567.6247352906203</v>
      </c>
      <c r="AA14" s="14">
        <v>7621.1967418665599</v>
      </c>
    </row>
    <row r="15" spans="1:28" ht="15.75" thickBot="1" x14ac:dyDescent="0.3">
      <c r="A15" s="1"/>
      <c r="B15" s="51"/>
      <c r="C15" s="19" t="s">
        <v>28</v>
      </c>
      <c r="D15" s="16">
        <v>5829.13779724087</v>
      </c>
      <c r="E15" s="16">
        <v>6625.81232758224</v>
      </c>
      <c r="F15" s="16">
        <v>7226.1846821936597</v>
      </c>
      <c r="G15" s="16">
        <v>7222.0247098203799</v>
      </c>
      <c r="H15" s="16">
        <v>7210.3590787600797</v>
      </c>
      <c r="I15" s="16">
        <v>7310.9940340993799</v>
      </c>
      <c r="J15" s="16">
        <v>7225.56726361855</v>
      </c>
      <c r="K15" s="16">
        <v>7234.7817900262398</v>
      </c>
      <c r="L15" s="16">
        <v>7259.1065974351804</v>
      </c>
      <c r="M15" s="16">
        <v>7263.6371614443897</v>
      </c>
      <c r="N15" s="16">
        <v>7153.67044640111</v>
      </c>
      <c r="O15" s="16">
        <v>7202.6214566647304</v>
      </c>
      <c r="P15" s="16">
        <v>7248.2683944370701</v>
      </c>
      <c r="Q15" s="16">
        <v>7263.9468920298996</v>
      </c>
      <c r="R15" s="16">
        <v>7246.2904587380199</v>
      </c>
      <c r="S15" s="16">
        <v>7416.0997065765596</v>
      </c>
      <c r="T15" s="16">
        <v>7431.4286530157196</v>
      </c>
      <c r="U15" s="16">
        <v>7539.3839816931404</v>
      </c>
      <c r="V15" s="16">
        <v>7568.1791852473398</v>
      </c>
      <c r="W15" s="16">
        <v>7476.5460815901997</v>
      </c>
      <c r="X15" s="16">
        <v>7420.8727120338099</v>
      </c>
      <c r="Y15" s="16">
        <v>7517.7061414352502</v>
      </c>
      <c r="Z15" s="16">
        <v>7511.6839809625599</v>
      </c>
      <c r="AA15" s="16">
        <v>7562.5439192350204</v>
      </c>
    </row>
    <row r="16" spans="1:28" ht="16.5" thickTop="1" thickBot="1" x14ac:dyDescent="0.3">
      <c r="A16" s="1"/>
      <c r="B16" s="51"/>
      <c r="C16" s="3" t="s">
        <v>15</v>
      </c>
      <c r="D16" s="15">
        <v>8768.0360624999994</v>
      </c>
      <c r="E16" s="15">
        <v>8813.5871069182394</v>
      </c>
      <c r="F16" s="15">
        <v>8798.6308860759491</v>
      </c>
      <c r="G16" s="15">
        <v>8646.7537579617801</v>
      </c>
      <c r="H16" s="15">
        <v>8625.0183974358897</v>
      </c>
      <c r="I16" s="15">
        <v>8642.8027741935493</v>
      </c>
      <c r="J16" s="15">
        <v>8663.0919480519497</v>
      </c>
      <c r="K16" s="15">
        <v>8692.2101960784294</v>
      </c>
      <c r="L16" s="15">
        <v>8694.1711842105196</v>
      </c>
      <c r="M16" s="15">
        <v>8733.6560927152295</v>
      </c>
      <c r="N16" s="15">
        <v>8766.4360666666598</v>
      </c>
      <c r="O16" s="15">
        <v>8812.8551006711405</v>
      </c>
      <c r="P16" s="15">
        <v>8664.8544594594496</v>
      </c>
      <c r="Q16" s="15">
        <v>8722.6057823129195</v>
      </c>
      <c r="R16" s="15">
        <v>8702.3165753424601</v>
      </c>
      <c r="S16" s="15">
        <v>8639.5551034482705</v>
      </c>
      <c r="T16" s="15">
        <v>8591.9096527777692</v>
      </c>
      <c r="U16" s="15">
        <v>8646.3600699300696</v>
      </c>
      <c r="V16" s="15">
        <v>8586.4702112676005</v>
      </c>
      <c r="W16" s="18">
        <v>8590.16</v>
      </c>
      <c r="X16" s="18">
        <v>8637.2850714285705</v>
      </c>
      <c r="Y16" s="18">
        <v>8692.2589928057496</v>
      </c>
      <c r="Z16" s="18">
        <v>8711.2951449275297</v>
      </c>
      <c r="AA16" s="18">
        <v>8734.5931386861303</v>
      </c>
    </row>
    <row r="17" spans="1:27" ht="16.5" thickTop="1" thickBot="1" x14ac:dyDescent="0.3">
      <c r="A17" s="1"/>
      <c r="B17" s="28"/>
      <c r="C17" s="19" t="s">
        <v>11</v>
      </c>
      <c r="D17" s="16">
        <v>6438.8419497526302</v>
      </c>
      <c r="E17" s="16">
        <v>7064.0917503977698</v>
      </c>
      <c r="F17" s="16">
        <v>7185.3224723372696</v>
      </c>
      <c r="G17" s="16">
        <v>7431.8236729393302</v>
      </c>
      <c r="H17" s="16">
        <v>7502.4481906628598</v>
      </c>
      <c r="I17" s="16">
        <v>7652.32395166677</v>
      </c>
      <c r="J17" s="16">
        <v>7516.7062594777199</v>
      </c>
      <c r="K17" s="16">
        <v>7630.16924153534</v>
      </c>
      <c r="L17" s="16">
        <v>7666.5603303677999</v>
      </c>
      <c r="M17" s="16">
        <v>7697.5706148750596</v>
      </c>
      <c r="N17" s="16">
        <v>7636.7061428234902</v>
      </c>
      <c r="O17" s="16">
        <v>7318.2251660676502</v>
      </c>
      <c r="P17" s="16">
        <v>7698.20877270644</v>
      </c>
      <c r="Q17" s="16">
        <v>7609.4962406680497</v>
      </c>
      <c r="R17" s="16">
        <v>7285.0776682890901</v>
      </c>
      <c r="S17" s="16">
        <v>7336.3880606334797</v>
      </c>
      <c r="T17" s="16">
        <v>7280.1824574696702</v>
      </c>
      <c r="U17" s="16">
        <v>7311.4944970337701</v>
      </c>
      <c r="V17" s="16">
        <v>7626.2776883671904</v>
      </c>
      <c r="W17" s="17">
        <v>7618.9864778702404</v>
      </c>
      <c r="X17" s="17">
        <v>7634.55424957787</v>
      </c>
      <c r="Y17" s="17">
        <v>7585.9890740456603</v>
      </c>
      <c r="Z17" s="17">
        <v>7603.3442520279104</v>
      </c>
      <c r="AA17" s="17">
        <v>7248.7485219226801</v>
      </c>
    </row>
    <row r="18" spans="1:27" ht="16.5" thickTop="1" thickBot="1" x14ac:dyDescent="0.3">
      <c r="A18" s="1"/>
      <c r="B18" s="28"/>
      <c r="C18" s="19" t="s">
        <v>18</v>
      </c>
      <c r="D18" s="16">
        <v>6074.9507536732299</v>
      </c>
      <c r="E18" s="16">
        <v>7269.5323953726502</v>
      </c>
      <c r="F18" s="16">
        <v>7981.3505239241504</v>
      </c>
      <c r="G18" s="16">
        <v>8126.3851289366203</v>
      </c>
      <c r="H18" s="16">
        <v>7959.5188029704796</v>
      </c>
      <c r="I18" s="16">
        <v>7855.7701358477298</v>
      </c>
      <c r="J18" s="16">
        <v>8162.3633250134599</v>
      </c>
      <c r="K18" s="16">
        <v>7995.5301489126396</v>
      </c>
      <c r="L18" s="16">
        <v>8000.0642967298199</v>
      </c>
      <c r="M18" s="16">
        <v>8317.9833708700498</v>
      </c>
      <c r="N18" s="16">
        <v>8448.2399883726594</v>
      </c>
      <c r="O18" s="16">
        <v>8373.7801311706407</v>
      </c>
      <c r="P18" s="16">
        <v>8792.8236020596505</v>
      </c>
      <c r="Q18" s="16">
        <v>8365.5512618050998</v>
      </c>
      <c r="R18" s="16">
        <v>7770.1277087938197</v>
      </c>
      <c r="S18" s="16">
        <v>7735.9266298847697</v>
      </c>
      <c r="T18" s="16">
        <v>7886.5001101506396</v>
      </c>
      <c r="U18" s="16">
        <v>8186.8137209646302</v>
      </c>
      <c r="V18" s="16">
        <v>8646.8885135641103</v>
      </c>
      <c r="W18" s="17">
        <v>8542.6005380973402</v>
      </c>
      <c r="X18" s="17">
        <v>8148.30911631444</v>
      </c>
      <c r="Y18" s="17">
        <v>7853.3684774208205</v>
      </c>
      <c r="Z18" s="17">
        <v>7808.0202220184001</v>
      </c>
      <c r="AA18" s="17">
        <v>7968.4245676565797</v>
      </c>
    </row>
    <row r="19" spans="1:27" ht="16.5" thickTop="1" thickBot="1" x14ac:dyDescent="0.3">
      <c r="A19" s="1"/>
      <c r="B19" s="28"/>
      <c r="C19" s="3" t="s">
        <v>29</v>
      </c>
      <c r="D19" s="15">
        <v>9433.5834489051995</v>
      </c>
      <c r="E19" s="15">
        <v>9842.9638987765793</v>
      </c>
      <c r="F19" s="15">
        <v>9893.7394902153101</v>
      </c>
      <c r="G19" s="15">
        <v>9806.6427225418702</v>
      </c>
      <c r="H19" s="15">
        <v>9791.3718346534097</v>
      </c>
      <c r="I19" s="15">
        <v>9550.84437197433</v>
      </c>
      <c r="J19" s="15">
        <v>9952.3462368023393</v>
      </c>
      <c r="K19" s="15">
        <v>9707.5989628283205</v>
      </c>
      <c r="L19" s="15">
        <v>9635.8360342012602</v>
      </c>
      <c r="M19" s="15">
        <v>9689.2914261963706</v>
      </c>
      <c r="N19" s="15">
        <v>9738.45831177322</v>
      </c>
      <c r="O19" s="15">
        <v>9512.01902137055</v>
      </c>
      <c r="P19" s="15">
        <v>9714.6278225774204</v>
      </c>
      <c r="Q19" s="15">
        <v>9530.6292032319307</v>
      </c>
      <c r="R19" s="15">
        <v>8932.7378847645596</v>
      </c>
      <c r="S19" s="15">
        <v>8895.1498381127403</v>
      </c>
      <c r="T19" s="15">
        <v>8862.3415384429209</v>
      </c>
      <c r="U19" s="15">
        <v>8689.1726163137591</v>
      </c>
      <c r="V19" s="15">
        <v>8917.2890282470798</v>
      </c>
      <c r="W19" s="15">
        <v>9141.2919944639198</v>
      </c>
      <c r="X19" s="15">
        <v>9176.7862436861196</v>
      </c>
      <c r="Y19" s="15">
        <v>9030.76111238872</v>
      </c>
      <c r="Z19" s="15">
        <v>8834.5102176173896</v>
      </c>
      <c r="AA19" s="15">
        <v>8905.8135615081392</v>
      </c>
    </row>
    <row r="20" spans="1:27" ht="15.75" thickTop="1" x14ac:dyDescent="0.25">
      <c r="A20" s="1"/>
      <c r="B20" s="28"/>
      <c r="C20" s="42" t="s">
        <v>25</v>
      </c>
      <c r="D20" s="14">
        <v>7691.6569374999899</v>
      </c>
      <c r="E20" s="14">
        <v>7613.2637106918201</v>
      </c>
      <c r="F20" s="14">
        <v>7571.7177848101201</v>
      </c>
      <c r="G20" s="14">
        <v>7412.02592356687</v>
      </c>
      <c r="H20" s="14">
        <v>7412.33506410256</v>
      </c>
      <c r="I20" s="14">
        <v>7436.03941935483</v>
      </c>
      <c r="J20" s="14">
        <v>7469.7824025973996</v>
      </c>
      <c r="K20" s="14">
        <v>7507.5612418300598</v>
      </c>
      <c r="L20" s="14">
        <v>7526.2142763157899</v>
      </c>
      <c r="M20" s="14">
        <v>7572.5735761589403</v>
      </c>
      <c r="N20" s="14">
        <v>7598.9346666666597</v>
      </c>
      <c r="O20" s="14">
        <v>7637.51812080536</v>
      </c>
      <c r="P20" s="14">
        <v>7769.6121621621596</v>
      </c>
      <c r="Q20" s="14">
        <v>7696.9200680272097</v>
      </c>
      <c r="R20" s="14">
        <v>7649.0518493150603</v>
      </c>
      <c r="S20" s="14">
        <v>7579.0264827586197</v>
      </c>
      <c r="T20" s="14">
        <v>7491.5602083333297</v>
      </c>
      <c r="U20" s="14">
        <v>7534.6845454545401</v>
      </c>
      <c r="V20" s="14">
        <v>7490.0550704225298</v>
      </c>
      <c r="W20" s="14">
        <v>7503.8297163120496</v>
      </c>
      <c r="X20" s="14">
        <v>7545.0771428571397</v>
      </c>
      <c r="Y20" s="14">
        <v>7583.08489208633</v>
      </c>
      <c r="Z20" s="14">
        <v>7592.6469565217303</v>
      </c>
      <c r="AA20" s="14">
        <v>7607.7796350364897</v>
      </c>
    </row>
    <row r="21" spans="1:27" x14ac:dyDescent="0.25">
      <c r="A21" s="1"/>
      <c r="B21" s="1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thickBot="1" x14ac:dyDescent="0.3">
      <c r="A22" s="1"/>
      <c r="B22" s="1"/>
      <c r="C22" s="19" t="s">
        <v>14</v>
      </c>
      <c r="D22" s="19">
        <v>1</v>
      </c>
      <c r="E22" s="19">
        <v>2</v>
      </c>
      <c r="F22" s="19">
        <v>3</v>
      </c>
      <c r="G22" s="19">
        <v>4</v>
      </c>
      <c r="H22" s="19">
        <v>5</v>
      </c>
      <c r="I22" s="19">
        <v>6</v>
      </c>
      <c r="J22" s="19">
        <v>7</v>
      </c>
      <c r="K22" s="19">
        <v>8</v>
      </c>
      <c r="L22" s="19">
        <v>9</v>
      </c>
      <c r="M22" s="19">
        <v>10</v>
      </c>
      <c r="N22" s="19">
        <v>11</v>
      </c>
      <c r="O22" s="19">
        <v>12</v>
      </c>
      <c r="P22" s="19">
        <v>13</v>
      </c>
      <c r="Q22" s="19">
        <v>14</v>
      </c>
      <c r="R22" s="19">
        <v>15</v>
      </c>
      <c r="S22" s="19">
        <v>16</v>
      </c>
      <c r="T22" s="19">
        <v>17</v>
      </c>
      <c r="U22" s="19">
        <v>18</v>
      </c>
      <c r="V22" s="19">
        <v>19</v>
      </c>
      <c r="W22" s="19">
        <v>20</v>
      </c>
      <c r="X22" s="19">
        <v>21</v>
      </c>
      <c r="Y22" s="19">
        <v>22</v>
      </c>
      <c r="Z22" s="19">
        <v>23</v>
      </c>
      <c r="AA22" s="19">
        <v>24</v>
      </c>
    </row>
    <row r="23" spans="1:27" ht="16.5" thickTop="1" thickBot="1" x14ac:dyDescent="0.3">
      <c r="A23" s="1"/>
      <c r="B23" s="51"/>
      <c r="C23" s="3" t="s">
        <v>17</v>
      </c>
      <c r="D23" s="15">
        <v>1343.1270625</v>
      </c>
      <c r="E23" s="15">
        <v>1728.68842767295</v>
      </c>
      <c r="F23" s="15">
        <v>1948.17727848101</v>
      </c>
      <c r="G23" s="15">
        <v>2057.6905095541301</v>
      </c>
      <c r="H23" s="15">
        <v>2078.8083333333302</v>
      </c>
      <c r="I23" s="15">
        <v>2146.9616774193501</v>
      </c>
      <c r="J23" s="15">
        <v>2226.4309090909001</v>
      </c>
      <c r="K23" s="15">
        <v>2270.8930718954198</v>
      </c>
      <c r="L23" s="15">
        <v>2367.59322368421</v>
      </c>
      <c r="M23" s="15">
        <v>2444.3624503311198</v>
      </c>
      <c r="N23" s="15">
        <v>2510.5290666666601</v>
      </c>
      <c r="O23" s="15">
        <v>2623.8322147651002</v>
      </c>
      <c r="P23" s="15">
        <v>2726.4552027026998</v>
      </c>
      <c r="Q23" s="15">
        <v>2790.3185714285701</v>
      </c>
      <c r="R23" s="15">
        <v>2821.4453424657499</v>
      </c>
      <c r="S23" s="15">
        <v>2849.2252413793099</v>
      </c>
      <c r="T23" s="15">
        <v>2877.7561111111099</v>
      </c>
      <c r="U23" s="15">
        <v>2902.90664335664</v>
      </c>
      <c r="V23" s="15">
        <v>2948.2291549295701</v>
      </c>
      <c r="W23" s="15">
        <v>3037.9045390070901</v>
      </c>
      <c r="X23" s="15">
        <v>3178.5362142857098</v>
      </c>
      <c r="Y23" s="15">
        <v>3237.0210071942402</v>
      </c>
      <c r="Z23" s="15">
        <v>3272.32789855072</v>
      </c>
      <c r="AA23" s="15">
        <v>3273.0308759124</v>
      </c>
    </row>
    <row r="24" spans="1:27" ht="15.75" thickTop="1" x14ac:dyDescent="0.25">
      <c r="A24" s="1"/>
      <c r="B24" s="51"/>
      <c r="C24" s="28" t="s">
        <v>4</v>
      </c>
      <c r="D24" s="14">
        <v>1881.9791386187201</v>
      </c>
      <c r="E24" s="14">
        <v>2311.8060558125999</v>
      </c>
      <c r="F24" s="14">
        <v>2404.11162857009</v>
      </c>
      <c r="G24" s="14">
        <v>2561.66343695874</v>
      </c>
      <c r="H24" s="14">
        <v>2418.2723693060898</v>
      </c>
      <c r="I24" s="14">
        <v>2401.8861089769498</v>
      </c>
      <c r="J24" s="14">
        <v>2386.94923769865</v>
      </c>
      <c r="K24" s="14">
        <v>2340.2921418441001</v>
      </c>
      <c r="L24" s="14">
        <v>2238.8674300542998</v>
      </c>
      <c r="M24" s="14">
        <v>2212.3128580715502</v>
      </c>
      <c r="N24" s="14">
        <v>2156.8737836684199</v>
      </c>
      <c r="O24" s="14">
        <v>2226.4515384047299</v>
      </c>
      <c r="P24" s="14">
        <v>2396.1018003290701</v>
      </c>
      <c r="Q24" s="14">
        <v>2352.5920094131702</v>
      </c>
      <c r="R24" s="14">
        <v>2361.0179093051102</v>
      </c>
      <c r="S24" s="14">
        <v>2280.4223133588398</v>
      </c>
      <c r="T24" s="14">
        <v>2266.7633245329798</v>
      </c>
      <c r="U24" s="14">
        <v>2305.3276281701001</v>
      </c>
      <c r="V24" s="14">
        <v>2325.8433584745399</v>
      </c>
      <c r="W24" s="14">
        <v>2319.11453136925</v>
      </c>
      <c r="X24" s="14">
        <v>2253.7644829874898</v>
      </c>
      <c r="Y24" s="14">
        <v>2208.4998072315602</v>
      </c>
      <c r="Z24" s="14">
        <v>2200.5704045662901</v>
      </c>
      <c r="AA24" s="14">
        <v>2251.16031486364</v>
      </c>
    </row>
    <row r="25" spans="1:27" x14ac:dyDescent="0.25">
      <c r="A25" s="1"/>
      <c r="B25" s="51"/>
      <c r="C25" s="28" t="s">
        <v>5</v>
      </c>
      <c r="D25" s="14">
        <v>1615.9303810082799</v>
      </c>
      <c r="E25" s="14">
        <v>2003.85240582495</v>
      </c>
      <c r="F25" s="14">
        <v>2039.34611073563</v>
      </c>
      <c r="G25" s="14">
        <v>2160.2847587674701</v>
      </c>
      <c r="H25" s="14">
        <v>2151.45671019273</v>
      </c>
      <c r="I25" s="14">
        <v>2155.0271344716798</v>
      </c>
      <c r="J25" s="14">
        <v>2187.1857269829202</v>
      </c>
      <c r="K25" s="14">
        <v>2162.4547025703</v>
      </c>
      <c r="L25" s="14">
        <v>2130.6069142773399</v>
      </c>
      <c r="M25" s="14">
        <v>2066.5082959613801</v>
      </c>
      <c r="N25" s="14">
        <v>2112.37296221834</v>
      </c>
      <c r="O25" s="14">
        <v>2233.5128598649299</v>
      </c>
      <c r="P25" s="14">
        <v>2432.2949982884902</v>
      </c>
      <c r="Q25" s="14">
        <v>2468.3128924255302</v>
      </c>
      <c r="R25" s="14">
        <v>2532.7993996477098</v>
      </c>
      <c r="S25" s="14">
        <v>2455.8814940399402</v>
      </c>
      <c r="T25" s="14">
        <v>2449.87780586278</v>
      </c>
      <c r="U25" s="14">
        <v>2485.9632443086798</v>
      </c>
      <c r="V25" s="14">
        <v>2515.4103094887701</v>
      </c>
      <c r="W25" s="14">
        <v>2541.7374127284802</v>
      </c>
      <c r="X25" s="14">
        <v>2512.8138111753801</v>
      </c>
      <c r="Y25" s="14">
        <v>2512.52322538611</v>
      </c>
      <c r="Z25" s="14">
        <v>2535.7192183883099</v>
      </c>
      <c r="AA25" s="14">
        <v>2570.90544831332</v>
      </c>
    </row>
    <row r="26" spans="1:27" x14ac:dyDescent="0.25">
      <c r="A26" s="1"/>
      <c r="B26" s="51"/>
      <c r="C26" s="28" t="s">
        <v>6</v>
      </c>
      <c r="D26" s="14">
        <v>1514.9968085451501</v>
      </c>
      <c r="E26" s="14">
        <v>1937.7323409742401</v>
      </c>
      <c r="F26" s="14">
        <v>2048.68848373831</v>
      </c>
      <c r="G26" s="14">
        <v>2092.4671190100098</v>
      </c>
      <c r="H26" s="14">
        <v>2023.39751143644</v>
      </c>
      <c r="I26" s="14">
        <v>2070.5649567881501</v>
      </c>
      <c r="J26" s="14">
        <v>2088.9170823856798</v>
      </c>
      <c r="K26" s="14">
        <v>2062.06510867921</v>
      </c>
      <c r="L26" s="14">
        <v>2051.5090966447001</v>
      </c>
      <c r="M26" s="14">
        <v>2045.3027159692001</v>
      </c>
      <c r="N26" s="14">
        <v>2123.9999638091699</v>
      </c>
      <c r="O26" s="14">
        <v>2251.4277787073402</v>
      </c>
      <c r="P26" s="14">
        <v>2410.3813749023302</v>
      </c>
      <c r="Q26" s="14">
        <v>2445.1475913508498</v>
      </c>
      <c r="R26" s="14">
        <v>2495.09720971969</v>
      </c>
      <c r="S26" s="14">
        <v>2429.72916337376</v>
      </c>
      <c r="T26" s="14">
        <v>2449.7961809912299</v>
      </c>
      <c r="U26" s="14">
        <v>2534.4680420678801</v>
      </c>
      <c r="V26" s="14">
        <v>2622.6429123299199</v>
      </c>
      <c r="W26" s="14">
        <v>2682.2815230753999</v>
      </c>
      <c r="X26" s="14">
        <v>2662.4428253316</v>
      </c>
      <c r="Y26" s="14">
        <v>2660.1990883164299</v>
      </c>
      <c r="Z26" s="14">
        <v>2699.2384133851301</v>
      </c>
      <c r="AA26" s="14">
        <v>2762.3069972575699</v>
      </c>
    </row>
    <row r="27" spans="1:27" x14ac:dyDescent="0.25">
      <c r="A27" s="1"/>
      <c r="B27" s="51"/>
      <c r="C27" s="28" t="s">
        <v>7</v>
      </c>
      <c r="D27" s="14">
        <v>1530.1291205621999</v>
      </c>
      <c r="E27" s="14">
        <v>1898.53628663832</v>
      </c>
      <c r="F27" s="14">
        <v>2042.8968183255799</v>
      </c>
      <c r="G27" s="14">
        <v>2093.2070063975302</v>
      </c>
      <c r="H27" s="14">
        <v>2030.4753096771101</v>
      </c>
      <c r="I27" s="14">
        <v>2095.12525674158</v>
      </c>
      <c r="J27" s="14">
        <v>2101.6018773607602</v>
      </c>
      <c r="K27" s="14">
        <v>2109.2941262343802</v>
      </c>
      <c r="L27" s="14">
        <v>2105.2793651376201</v>
      </c>
      <c r="M27" s="14">
        <v>2085.9506037413198</v>
      </c>
      <c r="N27" s="14">
        <v>2131.5480439918902</v>
      </c>
      <c r="O27" s="14">
        <v>2260.2666125881901</v>
      </c>
      <c r="P27" s="14">
        <v>2395.6413579195</v>
      </c>
      <c r="Q27" s="14">
        <v>2478.7443805228199</v>
      </c>
      <c r="R27" s="14">
        <v>2484.21557101283</v>
      </c>
      <c r="S27" s="14">
        <v>2395.5293364445502</v>
      </c>
      <c r="T27" s="14">
        <v>2428.8154042534102</v>
      </c>
      <c r="U27" s="14">
        <v>2490.5926591267698</v>
      </c>
      <c r="V27" s="14">
        <v>2575.1382603956999</v>
      </c>
      <c r="W27" s="14">
        <v>2607.58031656204</v>
      </c>
      <c r="X27" s="14">
        <v>2598.6569696408101</v>
      </c>
      <c r="Y27" s="14">
        <v>2609.3093846207898</v>
      </c>
      <c r="Z27" s="14">
        <v>2655.1511739299299</v>
      </c>
      <c r="AA27" s="14">
        <v>2719.6499983476301</v>
      </c>
    </row>
    <row r="28" spans="1:27" x14ac:dyDescent="0.25">
      <c r="A28" s="1"/>
      <c r="B28" s="51"/>
      <c r="C28" s="28" t="s">
        <v>8</v>
      </c>
      <c r="D28" s="14">
        <v>1434.06828353999</v>
      </c>
      <c r="E28" s="14">
        <v>1855.37909777203</v>
      </c>
      <c r="F28" s="14">
        <v>1979.98775940993</v>
      </c>
      <c r="G28" s="14">
        <v>2067.40040263525</v>
      </c>
      <c r="H28" s="14">
        <v>2033.19395837963</v>
      </c>
      <c r="I28" s="14">
        <v>2096.9861508058202</v>
      </c>
      <c r="J28" s="14">
        <v>2124.45815449674</v>
      </c>
      <c r="K28" s="14">
        <v>2134.3769929350701</v>
      </c>
      <c r="L28" s="14">
        <v>2149.1394127967801</v>
      </c>
      <c r="M28" s="14">
        <v>2131.59520684571</v>
      </c>
      <c r="N28" s="14">
        <v>2180.59008292924</v>
      </c>
      <c r="O28" s="14">
        <v>2296.5020663667201</v>
      </c>
      <c r="P28" s="14">
        <v>2414.90480198771</v>
      </c>
      <c r="Q28" s="14">
        <v>2482.8372332500899</v>
      </c>
      <c r="R28" s="14">
        <v>2530.6085257467798</v>
      </c>
      <c r="S28" s="14">
        <v>2443.7358862178598</v>
      </c>
      <c r="T28" s="14">
        <v>2457.1624837808299</v>
      </c>
      <c r="U28" s="14">
        <v>2521.4678677751799</v>
      </c>
      <c r="V28" s="14">
        <v>2586.9078341597301</v>
      </c>
      <c r="W28" s="14">
        <v>2644.8065471186201</v>
      </c>
      <c r="X28" s="14">
        <v>2616.9598801198199</v>
      </c>
      <c r="Y28" s="14">
        <v>2633.5887277230299</v>
      </c>
      <c r="Z28" s="14">
        <v>2691.7952621956601</v>
      </c>
      <c r="AA28" s="14">
        <v>2754.0299947778499</v>
      </c>
    </row>
    <row r="29" spans="1:27" x14ac:dyDescent="0.25">
      <c r="A29" s="1"/>
      <c r="B29" s="51"/>
      <c r="C29" s="28" t="s">
        <v>9</v>
      </c>
      <c r="D29" s="14">
        <v>1476.1429473504099</v>
      </c>
      <c r="E29" s="14">
        <v>1893.7453653080699</v>
      </c>
      <c r="F29" s="14">
        <v>2002.89601595198</v>
      </c>
      <c r="G29" s="14">
        <v>2104.44643233343</v>
      </c>
      <c r="H29" s="14">
        <v>2102.3978426418998</v>
      </c>
      <c r="I29" s="14">
        <v>2230.8290890756398</v>
      </c>
      <c r="J29" s="14">
        <v>2292.0660511835199</v>
      </c>
      <c r="K29" s="14">
        <v>2300.2180408142399</v>
      </c>
      <c r="L29" s="14">
        <v>2322.0589506152101</v>
      </c>
      <c r="M29" s="14">
        <v>2304.6060570664599</v>
      </c>
      <c r="N29" s="14">
        <v>2363.6832339789698</v>
      </c>
      <c r="O29" s="14">
        <v>2495.3220529678101</v>
      </c>
      <c r="P29" s="14">
        <v>2658.6937469648501</v>
      </c>
      <c r="Q29" s="14">
        <v>2727.3644300169299</v>
      </c>
      <c r="R29" s="14">
        <v>2788.9787475622002</v>
      </c>
      <c r="S29" s="14">
        <v>2714.6033123683101</v>
      </c>
      <c r="T29" s="14">
        <v>2745.19441944868</v>
      </c>
      <c r="U29" s="14">
        <v>2801.9075823595199</v>
      </c>
      <c r="V29" s="14">
        <v>2872.32391048932</v>
      </c>
      <c r="W29" s="14">
        <v>2945.2810122376</v>
      </c>
      <c r="X29" s="14">
        <v>2902.2628003679802</v>
      </c>
      <c r="Y29" s="14">
        <v>2929.68972451727</v>
      </c>
      <c r="Z29" s="14">
        <v>2983.70871240102</v>
      </c>
      <c r="AA29" s="14">
        <v>3053.8051377819702</v>
      </c>
    </row>
    <row r="30" spans="1:27" ht="15.75" thickBot="1" x14ac:dyDescent="0.3">
      <c r="A30" s="1"/>
      <c r="B30" s="51"/>
      <c r="C30" s="19" t="s">
        <v>10</v>
      </c>
      <c r="D30" s="16">
        <v>1437.4689927991501</v>
      </c>
      <c r="E30" s="16">
        <v>1819.04887916455</v>
      </c>
      <c r="F30" s="16">
        <v>2018.5364751043001</v>
      </c>
      <c r="G30" s="16">
        <v>2113.1115846436401</v>
      </c>
      <c r="H30" s="16">
        <v>2123.4727156825602</v>
      </c>
      <c r="I30" s="16">
        <v>2241.1584292939501</v>
      </c>
      <c r="J30" s="16">
        <v>2285.9089582071201</v>
      </c>
      <c r="K30" s="16">
        <v>2308.00370015608</v>
      </c>
      <c r="L30" s="16">
        <v>2311.0654735480498</v>
      </c>
      <c r="M30" s="16">
        <v>2302.3139510955698</v>
      </c>
      <c r="N30" s="16">
        <v>2364.2693323929402</v>
      </c>
      <c r="O30" s="16">
        <v>2516.4127195616702</v>
      </c>
      <c r="P30" s="16">
        <v>2682.4036102995701</v>
      </c>
      <c r="Q30" s="16">
        <v>2745.1185263480702</v>
      </c>
      <c r="R30" s="16">
        <v>2821.0727195030399</v>
      </c>
      <c r="S30" s="16">
        <v>2738.89328856778</v>
      </c>
      <c r="T30" s="16">
        <v>2787.9035706309801</v>
      </c>
      <c r="U30" s="16">
        <v>2839.4768855252</v>
      </c>
      <c r="V30" s="16">
        <v>2921.4580300770299</v>
      </c>
      <c r="W30" s="16">
        <v>2995.0968542996102</v>
      </c>
      <c r="X30" s="16">
        <v>2956.52646507706</v>
      </c>
      <c r="Y30" s="16">
        <v>2990.8019318152501</v>
      </c>
      <c r="Z30" s="16">
        <v>3043.6801544606801</v>
      </c>
      <c r="AA30" s="16">
        <v>3116.7601924352698</v>
      </c>
    </row>
    <row r="31" spans="1:27" ht="15.75" thickTop="1" x14ac:dyDescent="0.25">
      <c r="A31" s="1"/>
      <c r="B31" s="51"/>
      <c r="C31" s="48" t="s">
        <v>26</v>
      </c>
      <c r="D31" s="14">
        <v>1405.8534013619701</v>
      </c>
      <c r="E31" s="14">
        <v>1785.36148682163</v>
      </c>
      <c r="F31" s="14">
        <v>1993.1742118504001</v>
      </c>
      <c r="G31" s="14">
        <v>2105.1981196843599</v>
      </c>
      <c r="H31" s="14">
        <v>2121.1948707791898</v>
      </c>
      <c r="I31" s="14">
        <v>2264.9983470366201</v>
      </c>
      <c r="J31" s="14">
        <v>2308.1320838146498</v>
      </c>
      <c r="K31" s="14">
        <v>2336.3774035901502</v>
      </c>
      <c r="L31" s="14">
        <v>2348.7575005385602</v>
      </c>
      <c r="M31" s="14">
        <v>2338.97242466235</v>
      </c>
      <c r="N31" s="14">
        <v>2393.7152161192298</v>
      </c>
      <c r="O31" s="14">
        <v>2542.4756513888201</v>
      </c>
      <c r="P31" s="14">
        <v>2708.4917366497298</v>
      </c>
      <c r="Q31" s="14">
        <v>2771.5181826908602</v>
      </c>
      <c r="R31" s="14">
        <v>2855.0587978332501</v>
      </c>
      <c r="S31" s="14">
        <v>2790.7003389984302</v>
      </c>
      <c r="T31" s="14">
        <v>2851.2917119386502</v>
      </c>
      <c r="U31" s="14">
        <v>2903.0174880843101</v>
      </c>
      <c r="V31" s="14">
        <v>2983.2677092506701</v>
      </c>
      <c r="W31" s="14">
        <v>3049.9029718271599</v>
      </c>
      <c r="X31" s="14">
        <v>3005.0710671562001</v>
      </c>
      <c r="Y31" s="14">
        <v>3036.2853864816798</v>
      </c>
      <c r="Z31" s="14">
        <v>3083.6774692294398</v>
      </c>
      <c r="AA31" s="14">
        <v>3156.3106582630899</v>
      </c>
    </row>
    <row r="32" spans="1:27" x14ac:dyDescent="0.25">
      <c r="A32" s="1"/>
      <c r="B32" s="51"/>
      <c r="C32" s="48" t="s">
        <v>27</v>
      </c>
      <c r="D32" s="14">
        <v>1390.9286264043701</v>
      </c>
      <c r="E32" s="14">
        <v>1747.1344641242099</v>
      </c>
      <c r="F32" s="14">
        <v>1964.1173512159601</v>
      </c>
      <c r="G32" s="14">
        <v>2070.1471131035601</v>
      </c>
      <c r="H32" s="14">
        <v>2077.2150666084199</v>
      </c>
      <c r="I32" s="14">
        <v>2208.4287788700899</v>
      </c>
      <c r="J32" s="14">
        <v>2252.88790254382</v>
      </c>
      <c r="K32" s="14">
        <v>2278.4470699429098</v>
      </c>
      <c r="L32" s="14">
        <v>2291.4574616361401</v>
      </c>
      <c r="M32" s="14">
        <v>2281.6480931527499</v>
      </c>
      <c r="N32" s="14">
        <v>2334.1149531003198</v>
      </c>
      <c r="O32" s="14">
        <v>2471.2438284815598</v>
      </c>
      <c r="P32" s="14">
        <v>2649.1808373335598</v>
      </c>
      <c r="Q32" s="14">
        <v>2709.1721951763602</v>
      </c>
      <c r="R32" s="14">
        <v>2794.3256363862201</v>
      </c>
      <c r="S32" s="14">
        <v>2734.61606846725</v>
      </c>
      <c r="T32" s="14">
        <v>2797.56296476737</v>
      </c>
      <c r="U32" s="14">
        <v>2842.2550150019601</v>
      </c>
      <c r="V32" s="14">
        <v>2920.6200491708801</v>
      </c>
      <c r="W32" s="14">
        <v>2985.0157443994899</v>
      </c>
      <c r="X32" s="14">
        <v>2940.4651451729401</v>
      </c>
      <c r="Y32" s="14">
        <v>2972.0353243201498</v>
      </c>
      <c r="Z32" s="14">
        <v>3011.2401498054601</v>
      </c>
      <c r="AA32" s="14">
        <v>3080.7806293339399</v>
      </c>
    </row>
    <row r="33" spans="1:27" ht="15.75" thickBot="1" x14ac:dyDescent="0.3">
      <c r="A33" s="1"/>
      <c r="B33" s="51"/>
      <c r="C33" s="19" t="s">
        <v>28</v>
      </c>
      <c r="D33" s="16">
        <v>1397.89955726677</v>
      </c>
      <c r="E33" s="16">
        <v>1741.0269502692099</v>
      </c>
      <c r="F33" s="16">
        <v>1919.2774658952101</v>
      </c>
      <c r="G33" s="16">
        <v>1992.3839521805201</v>
      </c>
      <c r="H33" s="16">
        <v>1966.08441456418</v>
      </c>
      <c r="I33" s="16">
        <v>2043.44193952043</v>
      </c>
      <c r="J33" s="16">
        <v>2080.5613864491802</v>
      </c>
      <c r="K33" s="16">
        <v>2095.0493956437699</v>
      </c>
      <c r="L33" s="16">
        <v>2110.06760891156</v>
      </c>
      <c r="M33" s="16">
        <v>2106.2753509201402</v>
      </c>
      <c r="N33" s="16">
        <v>2145.6328714656202</v>
      </c>
      <c r="O33" s="16">
        <v>2252.7263919645602</v>
      </c>
      <c r="P33" s="16">
        <v>2477.4514259653301</v>
      </c>
      <c r="Q33" s="16">
        <v>2502.91288576647</v>
      </c>
      <c r="R33" s="16">
        <v>2552.4819333140099</v>
      </c>
      <c r="S33" s="16">
        <v>2504.6073079583598</v>
      </c>
      <c r="T33" s="16">
        <v>2565.9265171326601</v>
      </c>
      <c r="U33" s="16">
        <v>2616.9096995416298</v>
      </c>
      <c r="V33" s="16">
        <v>2689.3227241047498</v>
      </c>
      <c r="W33" s="16">
        <v>2751.19744458896</v>
      </c>
      <c r="X33" s="16">
        <v>2702.2987388056999</v>
      </c>
      <c r="Y33" s="16">
        <v>2741.27951955965</v>
      </c>
      <c r="Z33" s="16">
        <v>2754.6783540024599</v>
      </c>
      <c r="AA33" s="16">
        <v>2817.1071379538998</v>
      </c>
    </row>
    <row r="34" spans="1:27" ht="16.5" thickTop="1" thickBot="1" x14ac:dyDescent="0.3">
      <c r="A34" s="1"/>
      <c r="B34" s="1"/>
      <c r="C34" s="3" t="s">
        <v>15</v>
      </c>
      <c r="D34" s="15">
        <v>2203.3027499999998</v>
      </c>
      <c r="E34" s="15">
        <v>2199.0740880503099</v>
      </c>
      <c r="F34" s="15">
        <v>2189.94208860759</v>
      </c>
      <c r="G34" s="15">
        <v>2180.64942675159</v>
      </c>
      <c r="H34" s="15">
        <v>2151.3478846153798</v>
      </c>
      <c r="I34" s="15">
        <v>2152.15199999999</v>
      </c>
      <c r="J34" s="15">
        <v>2162.2507142857098</v>
      </c>
      <c r="K34" s="15">
        <v>2171.9915032679701</v>
      </c>
      <c r="L34" s="15">
        <v>2184.0805921052602</v>
      </c>
      <c r="M34" s="15">
        <v>2197.49039735099</v>
      </c>
      <c r="N34" s="15">
        <v>2210.3081999999999</v>
      </c>
      <c r="O34" s="15">
        <v>2216.6470469798601</v>
      </c>
      <c r="P34" s="15">
        <v>2214.4505405405398</v>
      </c>
      <c r="Q34" s="15">
        <v>2183.1097278911502</v>
      </c>
      <c r="R34" s="15">
        <v>2131.30438356164</v>
      </c>
      <c r="S34" s="15">
        <v>2136.15993103448</v>
      </c>
      <c r="T34" s="15">
        <v>2136.3581249999902</v>
      </c>
      <c r="U34" s="15">
        <v>2150.33251748251</v>
      </c>
      <c r="V34" s="15">
        <v>2161.7545774647801</v>
      </c>
      <c r="W34" s="15">
        <v>2175.2368794326198</v>
      </c>
      <c r="X34" s="15">
        <v>2189.6374999999898</v>
      </c>
      <c r="Y34" s="15">
        <v>2204.9657553956799</v>
      </c>
      <c r="Z34" s="15">
        <v>2215.1614492753602</v>
      </c>
      <c r="AA34" s="15">
        <v>2225.5975182481702</v>
      </c>
    </row>
    <row r="35" spans="1:27" ht="16.5" thickTop="1" thickBot="1" x14ac:dyDescent="0.3">
      <c r="A35" s="7"/>
      <c r="B35" s="7"/>
      <c r="C35" s="19" t="s">
        <v>11</v>
      </c>
      <c r="D35" s="16">
        <v>1402.9061450270301</v>
      </c>
      <c r="E35" s="16">
        <v>1695.7122079957601</v>
      </c>
      <c r="F35" s="16">
        <v>1853.15185400379</v>
      </c>
      <c r="G35" s="16">
        <v>1763.2431408559901</v>
      </c>
      <c r="H35" s="16">
        <v>1788.8785663655499</v>
      </c>
      <c r="I35" s="16">
        <v>1828.1199526584601</v>
      </c>
      <c r="J35" s="16">
        <v>1827.68174310892</v>
      </c>
      <c r="K35" s="16">
        <v>1883.0578454193201</v>
      </c>
      <c r="L35" s="16">
        <v>1865.6575482430501</v>
      </c>
      <c r="M35" s="16">
        <v>1934.2241844668399</v>
      </c>
      <c r="N35" s="16">
        <v>1967.6904798195601</v>
      </c>
      <c r="O35" s="16">
        <v>1910.51695200212</v>
      </c>
      <c r="P35" s="16">
        <v>1869.5665488617101</v>
      </c>
      <c r="Q35" s="16">
        <v>1871.84682540831</v>
      </c>
      <c r="R35" s="16">
        <v>1943.1660177490501</v>
      </c>
      <c r="S35" s="16">
        <v>1888.22573255213</v>
      </c>
      <c r="T35" s="16">
        <v>1870.5815837318701</v>
      </c>
      <c r="U35" s="16">
        <v>1932.6126854189699</v>
      </c>
      <c r="V35" s="16">
        <v>1964.5334343955101</v>
      </c>
      <c r="W35" s="16">
        <v>1938.6031501596301</v>
      </c>
      <c r="X35" s="16">
        <v>1936.0726959809001</v>
      </c>
      <c r="Y35" s="16">
        <v>1945.68782383438</v>
      </c>
      <c r="Z35" s="16">
        <v>1965.30777180466</v>
      </c>
      <c r="AA35" s="16">
        <v>2089.89165552144</v>
      </c>
    </row>
    <row r="36" spans="1:27" ht="16.5" thickTop="1" thickBot="1" x14ac:dyDescent="0.3">
      <c r="A36" s="7"/>
      <c r="B36" s="7"/>
      <c r="C36" s="19" t="s">
        <v>18</v>
      </c>
      <c r="D36" s="16">
        <v>1433.87538450792</v>
      </c>
      <c r="E36" s="16">
        <v>1883.8869403364199</v>
      </c>
      <c r="F36" s="16">
        <v>2043.5393624993701</v>
      </c>
      <c r="G36" s="16">
        <v>1956.8284598760399</v>
      </c>
      <c r="H36" s="16">
        <v>1822.58036004665</v>
      </c>
      <c r="I36" s="16">
        <v>1828.9204350058801</v>
      </c>
      <c r="J36" s="16">
        <v>1813.3941993941301</v>
      </c>
      <c r="K36" s="16">
        <v>1785.01725613128</v>
      </c>
      <c r="L36" s="16">
        <v>1827.26391047936</v>
      </c>
      <c r="M36" s="16">
        <v>1958.5075194547701</v>
      </c>
      <c r="N36" s="16">
        <v>2099.5758298230899</v>
      </c>
      <c r="O36" s="16">
        <v>2163.21973626505</v>
      </c>
      <c r="P36" s="16">
        <v>2146.5575000981298</v>
      </c>
      <c r="Q36" s="16">
        <v>2080.1705958401799</v>
      </c>
      <c r="R36" s="16">
        <v>1967.57685149947</v>
      </c>
      <c r="S36" s="16">
        <v>1796.17018410897</v>
      </c>
      <c r="T36" s="16">
        <v>1782.7801239533101</v>
      </c>
      <c r="U36" s="16">
        <v>1773.9991553939001</v>
      </c>
      <c r="V36" s="16">
        <v>1835.3577736791799</v>
      </c>
      <c r="W36" s="16">
        <v>1924.9265139209999</v>
      </c>
      <c r="X36" s="16">
        <v>2025.08767974946</v>
      </c>
      <c r="Y36" s="16">
        <v>1976.2924554607</v>
      </c>
      <c r="Z36" s="16">
        <v>2055.0050212226502</v>
      </c>
      <c r="AA36" s="16">
        <v>2107.2608477640201</v>
      </c>
    </row>
    <row r="37" spans="1:27" ht="16.5" thickTop="1" thickBot="1" x14ac:dyDescent="0.3">
      <c r="A37" s="7"/>
      <c r="B37" s="7"/>
      <c r="C37" s="3" t="s">
        <v>29</v>
      </c>
      <c r="D37" s="21">
        <v>1955.0692256386801</v>
      </c>
      <c r="E37" s="21">
        <v>2226.0968147874901</v>
      </c>
      <c r="F37" s="21">
        <v>2275.4019759524499</v>
      </c>
      <c r="G37" s="21">
        <v>2138.0630353198699</v>
      </c>
      <c r="H37" s="21">
        <v>2026.8355001232601</v>
      </c>
      <c r="I37" s="21">
        <v>1959.87685141363</v>
      </c>
      <c r="J37" s="21">
        <v>1985.5454525241501</v>
      </c>
      <c r="K37" s="21">
        <v>2014.6991789742001</v>
      </c>
      <c r="L37" s="21">
        <v>1989.3059584100799</v>
      </c>
      <c r="M37" s="21">
        <v>1964.0661080532</v>
      </c>
      <c r="N37" s="21">
        <v>2016.0577715212301</v>
      </c>
      <c r="O37" s="21">
        <v>2214.2199548264198</v>
      </c>
      <c r="P37" s="21">
        <v>2295.0509889874502</v>
      </c>
      <c r="Q37" s="21">
        <v>2286.1536869862598</v>
      </c>
      <c r="R37" s="21">
        <v>2138.6759519430102</v>
      </c>
      <c r="S37" s="21">
        <v>2006.6134107303501</v>
      </c>
      <c r="T37" s="21">
        <v>1964.38253454495</v>
      </c>
      <c r="U37" s="21">
        <v>2003.8630973609199</v>
      </c>
      <c r="V37" s="21">
        <v>2051.9914455739399</v>
      </c>
      <c r="W37" s="21">
        <v>2090.2708363735201</v>
      </c>
      <c r="X37" s="21">
        <v>2088.33998068442</v>
      </c>
      <c r="Y37" s="21">
        <v>2078.49918929871</v>
      </c>
      <c r="Z37" s="21">
        <v>2211.6993354913702</v>
      </c>
      <c r="AA37" s="21">
        <v>2239.29348331248</v>
      </c>
    </row>
    <row r="38" spans="1:27" ht="15.75" thickTop="1" x14ac:dyDescent="0.25">
      <c r="C38" s="42" t="s">
        <v>25</v>
      </c>
      <c r="D38" s="14">
        <v>1930.588375</v>
      </c>
      <c r="E38" s="14">
        <v>1941.48811320754</v>
      </c>
      <c r="F38" s="14">
        <v>1940.37886075949</v>
      </c>
      <c r="G38" s="14">
        <v>1946.96968152866</v>
      </c>
      <c r="H38" s="14">
        <v>1945.5602564102501</v>
      </c>
      <c r="I38" s="14">
        <v>1958.07432258064</v>
      </c>
      <c r="J38" s="14">
        <v>1969.6564935064901</v>
      </c>
      <c r="K38" s="14">
        <v>1981.7719607843101</v>
      </c>
      <c r="L38" s="14">
        <v>1991.5809210526299</v>
      </c>
      <c r="M38" s="14">
        <v>2004.47675496688</v>
      </c>
      <c r="N38" s="14">
        <v>2016.0077999999901</v>
      </c>
      <c r="O38" s="14">
        <v>2021.0426174496599</v>
      </c>
      <c r="P38" s="14">
        <v>2246.5477702702701</v>
      </c>
      <c r="Q38" s="14">
        <v>2233.6438775510201</v>
      </c>
      <c r="R38" s="14">
        <v>2221.6276712328699</v>
      </c>
      <c r="S38" s="14">
        <v>2208.1870344827498</v>
      </c>
      <c r="T38" s="14">
        <v>2177.0461805555501</v>
      </c>
      <c r="U38" s="14">
        <v>2177.09118881118</v>
      </c>
      <c r="V38" s="14">
        <v>2190.7117605633798</v>
      </c>
      <c r="W38" s="14">
        <v>2204.1553191489302</v>
      </c>
      <c r="X38" s="14">
        <v>2215.1413571428502</v>
      </c>
      <c r="Y38" s="14">
        <v>2229.1889928057499</v>
      </c>
      <c r="Z38" s="14">
        <v>2239.5602173912998</v>
      </c>
      <c r="AA38" s="14">
        <v>2250.17437956204</v>
      </c>
    </row>
    <row r="39" spans="1:27" x14ac:dyDescent="0.25">
      <c r="C39" s="5"/>
    </row>
    <row r="40" spans="1:27" ht="18.75" x14ac:dyDescent="0.25">
      <c r="C40" s="13" t="s">
        <v>20</v>
      </c>
    </row>
    <row r="41" spans="1:27" x14ac:dyDescent="0.25">
      <c r="C41" s="5"/>
    </row>
    <row r="42" spans="1:27" x14ac:dyDescent="0.25">
      <c r="C42" s="1"/>
      <c r="D42" s="51" t="s">
        <v>13</v>
      </c>
      <c r="E42" s="51"/>
      <c r="F42" s="51"/>
      <c r="G42" s="51"/>
      <c r="H42" s="52"/>
      <c r="I42" s="6"/>
      <c r="N42" s="51" t="s">
        <v>14</v>
      </c>
      <c r="O42" s="51"/>
      <c r="P42" s="51"/>
      <c r="Q42" s="51"/>
      <c r="R42" s="52"/>
    </row>
    <row r="43" spans="1:27" ht="30" customHeight="1" thickBot="1" x14ac:dyDescent="0.3">
      <c r="C43" s="2"/>
      <c r="D43" s="19" t="s">
        <v>0</v>
      </c>
      <c r="E43" s="19" t="s">
        <v>1</v>
      </c>
      <c r="F43" s="19" t="s">
        <v>2</v>
      </c>
      <c r="G43" s="19" t="s">
        <v>3</v>
      </c>
      <c r="H43" s="50" t="s">
        <v>23</v>
      </c>
      <c r="I43" s="50"/>
      <c r="N43" s="19" t="s">
        <v>0</v>
      </c>
      <c r="O43" s="19" t="s">
        <v>1</v>
      </c>
      <c r="P43" s="19" t="s">
        <v>2</v>
      </c>
      <c r="Q43" s="19" t="s">
        <v>3</v>
      </c>
      <c r="R43" s="50" t="s">
        <v>23</v>
      </c>
      <c r="S43" s="50"/>
    </row>
    <row r="44" spans="1:27" ht="16.5" thickTop="1" thickBot="1" x14ac:dyDescent="0.3">
      <c r="C44" s="3" t="s">
        <v>12</v>
      </c>
      <c r="D44" s="8">
        <f t="shared" ref="D44:D59" si="0">D5</f>
        <v>5350.3791874999997</v>
      </c>
      <c r="E44" s="8">
        <f t="shared" ref="E44:E59" si="1">I5</f>
        <v>6860.5435483870897</v>
      </c>
      <c r="F44" s="8">
        <f t="shared" ref="F44:F59" si="2">O5</f>
        <v>7353.1129530201297</v>
      </c>
      <c r="G44" s="8">
        <f t="shared" ref="G44:G59" si="3">AA5</f>
        <v>7938.48270072992</v>
      </c>
      <c r="H44" s="8">
        <v>93603.374874999994</v>
      </c>
      <c r="I44" s="26" t="s">
        <v>19</v>
      </c>
      <c r="M44" s="3" t="s">
        <v>12</v>
      </c>
      <c r="N44" s="12">
        <f t="shared" ref="N44:N58" si="4">D23</f>
        <v>1343.1270625</v>
      </c>
      <c r="O44" s="12">
        <f t="shared" ref="O44:O58" si="5">I23</f>
        <v>2146.9616774193501</v>
      </c>
      <c r="P44" s="12">
        <f t="shared" ref="P44:P58" si="6">O23</f>
        <v>2623.8322147651002</v>
      </c>
      <c r="Q44" s="12">
        <f t="shared" ref="Q44:Q58" si="7">AA23</f>
        <v>3273.0308759124</v>
      </c>
      <c r="R44" s="10">
        <v>43667.183437499902</v>
      </c>
      <c r="S44" s="26" t="s">
        <v>19</v>
      </c>
    </row>
    <row r="45" spans="1:27" ht="15.75" thickTop="1" x14ac:dyDescent="0.25">
      <c r="C45" s="28" t="s">
        <v>4</v>
      </c>
      <c r="D45" s="11">
        <f t="shared" si="0"/>
        <v>8706.6923283446504</v>
      </c>
      <c r="E45" s="11">
        <f t="shared" si="1"/>
        <v>8200.6334953531095</v>
      </c>
      <c r="F45" s="11">
        <f t="shared" si="2"/>
        <v>8128.4971422111003</v>
      </c>
      <c r="G45" s="11">
        <f t="shared" si="3"/>
        <v>7580.6922317875496</v>
      </c>
      <c r="H45" s="9">
        <v>109933.030570716</v>
      </c>
      <c r="I45" s="23">
        <f t="shared" ref="I45:I59" si="8">H45/$H$44</f>
        <v>1.1744558432591024</v>
      </c>
      <c r="M45" s="28" t="s">
        <v>4</v>
      </c>
      <c r="N45" s="31">
        <f t="shared" si="4"/>
        <v>1881.9791386187201</v>
      </c>
      <c r="O45" s="31">
        <f t="shared" si="5"/>
        <v>2401.8861089769498</v>
      </c>
      <c r="P45" s="31">
        <f t="shared" si="6"/>
        <v>2226.4515384047299</v>
      </c>
      <c r="Q45" s="31">
        <f t="shared" si="7"/>
        <v>2251.16031486364</v>
      </c>
      <c r="R45" s="32">
        <v>34463.6408303715</v>
      </c>
      <c r="S45" s="23">
        <f t="shared" ref="S45:S59" si="9">R45/$R$44</f>
        <v>0.7892343429866211</v>
      </c>
    </row>
    <row r="46" spans="1:27" x14ac:dyDescent="0.25">
      <c r="C46" s="28" t="s">
        <v>5</v>
      </c>
      <c r="D46" s="11">
        <f t="shared" si="0"/>
        <v>6623.34191572501</v>
      </c>
      <c r="E46" s="11">
        <f t="shared" si="1"/>
        <v>8203.95413298526</v>
      </c>
      <c r="F46" s="11">
        <f t="shared" si="2"/>
        <v>8225.7999989466607</v>
      </c>
      <c r="G46" s="11">
        <f t="shared" si="3"/>
        <v>8491.9609852242193</v>
      </c>
      <c r="H46" s="9">
        <v>131861.59524696801</v>
      </c>
      <c r="I46" s="27">
        <f t="shared" si="8"/>
        <v>1.4087269334365227</v>
      </c>
      <c r="M46" s="28" t="s">
        <v>5</v>
      </c>
      <c r="N46" s="31">
        <f t="shared" si="4"/>
        <v>1615.9303810082799</v>
      </c>
      <c r="O46" s="31">
        <f t="shared" si="5"/>
        <v>2155.0271344716798</v>
      </c>
      <c r="P46" s="31">
        <f t="shared" si="6"/>
        <v>2233.5128598649299</v>
      </c>
      <c r="Q46" s="31">
        <f t="shared" si="7"/>
        <v>2570.90544831332</v>
      </c>
      <c r="R46" s="32">
        <v>34403.644928915601</v>
      </c>
      <c r="S46" s="24">
        <f t="shared" si="9"/>
        <v>0.78786040730465146</v>
      </c>
    </row>
    <row r="47" spans="1:27" x14ac:dyDescent="0.25">
      <c r="C47" s="28" t="s">
        <v>6</v>
      </c>
      <c r="D47" s="11">
        <f t="shared" si="0"/>
        <v>6561.71257318469</v>
      </c>
      <c r="E47" s="11">
        <f t="shared" si="1"/>
        <v>8538.7931912067197</v>
      </c>
      <c r="F47" s="11">
        <f t="shared" si="2"/>
        <v>8869.4957505696293</v>
      </c>
      <c r="G47" s="11">
        <f t="shared" si="3"/>
        <v>9385.4731022525903</v>
      </c>
      <c r="H47" s="9">
        <v>145806.366868935</v>
      </c>
      <c r="I47" s="27">
        <f t="shared" si="8"/>
        <v>1.5577041646591059</v>
      </c>
      <c r="M47" s="28" t="s">
        <v>6</v>
      </c>
      <c r="N47" s="31">
        <f t="shared" si="4"/>
        <v>1514.9968085451501</v>
      </c>
      <c r="O47" s="31">
        <f t="shared" si="5"/>
        <v>2070.5649567881501</v>
      </c>
      <c r="P47" s="31">
        <f t="shared" si="6"/>
        <v>2251.4277787073402</v>
      </c>
      <c r="Q47" s="31">
        <f t="shared" si="7"/>
        <v>2762.3069972575699</v>
      </c>
      <c r="R47" s="32">
        <v>34668.583611948998</v>
      </c>
      <c r="S47" s="24">
        <f t="shared" si="9"/>
        <v>0.79392763358712048</v>
      </c>
    </row>
    <row r="48" spans="1:27" x14ac:dyDescent="0.25">
      <c r="C48" s="28" t="s">
        <v>7</v>
      </c>
      <c r="D48" s="11">
        <f t="shared" si="0"/>
        <v>5928.3090537453099</v>
      </c>
      <c r="E48" s="11">
        <f t="shared" si="1"/>
        <v>7887.06283114505</v>
      </c>
      <c r="F48" s="11">
        <f t="shared" si="2"/>
        <v>7838.9530077101399</v>
      </c>
      <c r="G48" s="11">
        <f t="shared" si="3"/>
        <v>8460.9143339646507</v>
      </c>
      <c r="H48" s="9">
        <v>115190.784118449</v>
      </c>
      <c r="I48" s="27">
        <f t="shared" si="8"/>
        <v>1.2306263985916885</v>
      </c>
      <c r="M48" s="28" t="s">
        <v>7</v>
      </c>
      <c r="N48" s="31">
        <f t="shared" si="4"/>
        <v>1530.1291205621999</v>
      </c>
      <c r="O48" s="31">
        <f t="shared" si="5"/>
        <v>2095.12525674158</v>
      </c>
      <c r="P48" s="31">
        <f t="shared" si="6"/>
        <v>2260.2666125881901</v>
      </c>
      <c r="Q48" s="31">
        <f t="shared" si="7"/>
        <v>2719.6499983476301</v>
      </c>
      <c r="R48" s="32">
        <v>34013.458237583298</v>
      </c>
      <c r="S48" s="24">
        <f t="shared" si="9"/>
        <v>0.77892493996701628</v>
      </c>
    </row>
    <row r="49" spans="3:20" x14ac:dyDescent="0.25">
      <c r="C49" s="28" t="s">
        <v>8</v>
      </c>
      <c r="D49" s="11">
        <f t="shared" si="0"/>
        <v>5946.4630792615699</v>
      </c>
      <c r="E49" s="11">
        <f t="shared" si="1"/>
        <v>7672.2729815371504</v>
      </c>
      <c r="F49" s="11">
        <f t="shared" si="2"/>
        <v>7639.8895900300004</v>
      </c>
      <c r="G49" s="11">
        <f t="shared" si="3"/>
        <v>7985.4512123301201</v>
      </c>
      <c r="H49" s="9">
        <v>108526.69229608501</v>
      </c>
      <c r="I49" s="27">
        <f t="shared" si="8"/>
        <v>1.1594314034190962</v>
      </c>
      <c r="M49" s="28" t="s">
        <v>8</v>
      </c>
      <c r="N49" s="31">
        <f t="shared" si="4"/>
        <v>1434.06828353999</v>
      </c>
      <c r="O49" s="31">
        <f t="shared" si="5"/>
        <v>2096.9861508058202</v>
      </c>
      <c r="P49" s="31">
        <f t="shared" si="6"/>
        <v>2296.5020663667201</v>
      </c>
      <c r="Q49" s="31">
        <f t="shared" si="7"/>
        <v>2754.0299947778499</v>
      </c>
      <c r="R49" s="32">
        <v>35533.261592876901</v>
      </c>
      <c r="S49" s="24">
        <f t="shared" si="9"/>
        <v>0.81372918506949399</v>
      </c>
    </row>
    <row r="50" spans="3:20" x14ac:dyDescent="0.25">
      <c r="C50" s="28" t="s">
        <v>9</v>
      </c>
      <c r="D50" s="11">
        <f t="shared" si="0"/>
        <v>5814.1323307846596</v>
      </c>
      <c r="E50" s="11">
        <f t="shared" si="1"/>
        <v>7451.3453635232399</v>
      </c>
      <c r="F50" s="11">
        <f t="shared" si="2"/>
        <v>7316.7296715429702</v>
      </c>
      <c r="G50" s="11">
        <f t="shared" si="3"/>
        <v>7641.8538591234601</v>
      </c>
      <c r="H50" s="9">
        <v>95535.250979627701</v>
      </c>
      <c r="I50" s="27">
        <f t="shared" si="8"/>
        <v>1.0206389578068908</v>
      </c>
      <c r="M50" s="28" t="s">
        <v>9</v>
      </c>
      <c r="N50" s="31">
        <f t="shared" si="4"/>
        <v>1476.1429473504099</v>
      </c>
      <c r="O50" s="31">
        <f t="shared" si="5"/>
        <v>2230.8290890756398</v>
      </c>
      <c r="P50" s="31">
        <f t="shared" si="6"/>
        <v>2495.3220529678101</v>
      </c>
      <c r="Q50" s="31">
        <f t="shared" si="7"/>
        <v>3053.8051377819702</v>
      </c>
      <c r="R50" s="32">
        <v>41728.950728925098</v>
      </c>
      <c r="S50" s="24">
        <f t="shared" si="9"/>
        <v>0.95561351669614869</v>
      </c>
    </row>
    <row r="51" spans="3:20" ht="15.75" thickBot="1" x14ac:dyDescent="0.3">
      <c r="C51" s="19" t="s">
        <v>10</v>
      </c>
      <c r="D51" s="10">
        <f t="shared" si="0"/>
        <v>5775.19845459112</v>
      </c>
      <c r="E51" s="10">
        <f t="shared" si="1"/>
        <v>7410.04501393803</v>
      </c>
      <c r="F51" s="10">
        <f t="shared" si="2"/>
        <v>7275.6688697367599</v>
      </c>
      <c r="G51" s="10">
        <f t="shared" si="3"/>
        <v>7600.9526785370799</v>
      </c>
      <c r="H51" s="10">
        <v>94347.0991215658</v>
      </c>
      <c r="I51" s="25">
        <f t="shared" si="8"/>
        <v>1.0079454853797631</v>
      </c>
      <c r="M51" s="19" t="s">
        <v>10</v>
      </c>
      <c r="N51" s="33">
        <f t="shared" si="4"/>
        <v>1437.4689927991501</v>
      </c>
      <c r="O51" s="33">
        <f t="shared" si="5"/>
        <v>2241.1584292939501</v>
      </c>
      <c r="P51" s="33">
        <f t="shared" si="6"/>
        <v>2516.4127195616702</v>
      </c>
      <c r="Q51" s="33">
        <f t="shared" si="7"/>
        <v>3116.7601924352698</v>
      </c>
      <c r="R51" s="30">
        <v>42218.2953519312</v>
      </c>
      <c r="S51" s="25">
        <f t="shared" si="9"/>
        <v>0.96681974948893901</v>
      </c>
    </row>
    <row r="52" spans="3:20" ht="15.75" thickTop="1" x14ac:dyDescent="0.25">
      <c r="C52" s="48" t="s">
        <v>26</v>
      </c>
      <c r="D52" s="11">
        <f t="shared" si="0"/>
        <v>5844.00397061076</v>
      </c>
      <c r="E52" s="11">
        <f t="shared" si="1"/>
        <v>7474.9497529022201</v>
      </c>
      <c r="F52" s="11">
        <f t="shared" si="2"/>
        <v>7331.5481686054</v>
      </c>
      <c r="G52" s="11">
        <f t="shared" si="3"/>
        <v>7636.9820081811404</v>
      </c>
      <c r="H52" s="9">
        <v>97505.427450453193</v>
      </c>
      <c r="I52" s="27">
        <f t="shared" si="8"/>
        <v>1.0416870928069002</v>
      </c>
      <c r="M52" s="48" t="s">
        <v>26</v>
      </c>
      <c r="N52" s="31">
        <f t="shared" si="4"/>
        <v>1405.8534013619701</v>
      </c>
      <c r="O52" s="31">
        <f t="shared" si="5"/>
        <v>2264.9983470366201</v>
      </c>
      <c r="P52" s="31">
        <f t="shared" si="6"/>
        <v>2542.4756513888201</v>
      </c>
      <c r="Q52" s="31">
        <f t="shared" si="7"/>
        <v>3156.3106582630899</v>
      </c>
      <c r="R52" s="32">
        <v>43236.979826974202</v>
      </c>
      <c r="S52" s="24">
        <f t="shared" si="9"/>
        <v>0.99014812551074094</v>
      </c>
    </row>
    <row r="53" spans="3:20" x14ac:dyDescent="0.25">
      <c r="C53" s="48" t="s">
        <v>27</v>
      </c>
      <c r="D53" s="11">
        <f t="shared" si="0"/>
        <v>5863.1640074966199</v>
      </c>
      <c r="E53" s="11">
        <f t="shared" si="1"/>
        <v>7461.8409563208697</v>
      </c>
      <c r="F53" s="11">
        <f t="shared" si="2"/>
        <v>7311.4950460335904</v>
      </c>
      <c r="G53" s="11">
        <f t="shared" si="3"/>
        <v>7621.1967418665599</v>
      </c>
      <c r="H53" s="9">
        <v>97267.296411100004</v>
      </c>
      <c r="I53" s="27">
        <f t="shared" si="8"/>
        <v>1.0391430495000089</v>
      </c>
      <c r="M53" s="48" t="s">
        <v>27</v>
      </c>
      <c r="N53" s="31">
        <f t="shared" si="4"/>
        <v>1390.9286264043701</v>
      </c>
      <c r="O53" s="31">
        <f t="shared" si="5"/>
        <v>2208.4287788700899</v>
      </c>
      <c r="P53" s="31">
        <f t="shared" si="6"/>
        <v>2471.2438284815598</v>
      </c>
      <c r="Q53" s="31">
        <f t="shared" si="7"/>
        <v>3080.7806293339399</v>
      </c>
      <c r="R53" s="32">
        <v>41689.631624394897</v>
      </c>
      <c r="S53" s="24">
        <f t="shared" si="9"/>
        <v>0.95471308984387693</v>
      </c>
    </row>
    <row r="54" spans="3:20" ht="15.75" thickBot="1" x14ac:dyDescent="0.3">
      <c r="C54" s="19" t="s">
        <v>28</v>
      </c>
      <c r="D54" s="10">
        <f t="shared" si="0"/>
        <v>5829.13779724087</v>
      </c>
      <c r="E54" s="10">
        <f t="shared" si="1"/>
        <v>7310.9940340993799</v>
      </c>
      <c r="F54" s="10">
        <f t="shared" si="2"/>
        <v>7202.6214566647304</v>
      </c>
      <c r="G54" s="10">
        <f t="shared" si="3"/>
        <v>7562.5439192350204</v>
      </c>
      <c r="H54" s="10">
        <v>93769.019548651995</v>
      </c>
      <c r="I54" s="27">
        <f t="shared" si="8"/>
        <v>1.0017696442449133</v>
      </c>
      <c r="M54" s="19" t="s">
        <v>28</v>
      </c>
      <c r="N54" s="33">
        <f t="shared" si="4"/>
        <v>1397.89955726677</v>
      </c>
      <c r="O54" s="33">
        <f t="shared" si="5"/>
        <v>2043.44193952043</v>
      </c>
      <c r="P54" s="33">
        <f t="shared" si="6"/>
        <v>2252.7263919645602</v>
      </c>
      <c r="Q54" s="33">
        <f t="shared" si="7"/>
        <v>2817.1071379538998</v>
      </c>
      <c r="R54" s="30">
        <v>35970.628038368101</v>
      </c>
      <c r="S54" s="25">
        <f t="shared" si="9"/>
        <v>0.82374509200604273</v>
      </c>
    </row>
    <row r="55" spans="3:20" ht="16.5" thickTop="1" thickBot="1" x14ac:dyDescent="0.3">
      <c r="C55" s="3" t="s">
        <v>15</v>
      </c>
      <c r="D55" s="8">
        <f t="shared" si="0"/>
        <v>8768.0360624999994</v>
      </c>
      <c r="E55" s="8">
        <f t="shared" si="1"/>
        <v>8642.8027741935493</v>
      </c>
      <c r="F55" s="8">
        <f t="shared" si="2"/>
        <v>8812.8551006711405</v>
      </c>
      <c r="G55" s="8">
        <f t="shared" si="3"/>
        <v>8734.5931386861303</v>
      </c>
      <c r="H55" s="8">
        <v>85204.319749999995</v>
      </c>
      <c r="I55" s="23">
        <f t="shared" si="8"/>
        <v>0.9102697404210448</v>
      </c>
      <c r="M55" s="3" t="s">
        <v>15</v>
      </c>
      <c r="N55" s="21">
        <f t="shared" si="4"/>
        <v>2203.3027499999998</v>
      </c>
      <c r="O55" s="21">
        <f t="shared" si="5"/>
        <v>2152.15199999999</v>
      </c>
      <c r="P55" s="21">
        <f t="shared" si="6"/>
        <v>2216.6470469798601</v>
      </c>
      <c r="Q55" s="21">
        <f t="shared" si="7"/>
        <v>2225.5975182481702</v>
      </c>
      <c r="R55" s="31">
        <v>27011.183062499898</v>
      </c>
      <c r="S55" s="24">
        <f t="shared" si="9"/>
        <v>0.61856939092855723</v>
      </c>
    </row>
    <row r="56" spans="3:20" ht="16.5" thickTop="1" thickBot="1" x14ac:dyDescent="0.3">
      <c r="C56" s="19" t="s">
        <v>11</v>
      </c>
      <c r="D56" s="10">
        <f t="shared" si="0"/>
        <v>6438.8419497526302</v>
      </c>
      <c r="E56" s="10">
        <f t="shared" si="1"/>
        <v>7652.32395166677</v>
      </c>
      <c r="F56" s="10">
        <f t="shared" si="2"/>
        <v>7318.2251660676502</v>
      </c>
      <c r="G56" s="10">
        <f t="shared" si="3"/>
        <v>7248.7485219226801</v>
      </c>
      <c r="H56" s="10">
        <v>69759.368212305504</v>
      </c>
      <c r="I56" s="34">
        <f t="shared" si="8"/>
        <v>0.74526552387094691</v>
      </c>
      <c r="J56" s="29"/>
      <c r="K56" s="1"/>
      <c r="L56" s="1"/>
      <c r="M56" s="19" t="s">
        <v>11</v>
      </c>
      <c r="N56" s="33">
        <f t="shared" si="4"/>
        <v>1402.9061450270301</v>
      </c>
      <c r="O56" s="33">
        <f t="shared" si="5"/>
        <v>1828.1199526584601</v>
      </c>
      <c r="P56" s="33">
        <f t="shared" si="6"/>
        <v>1910.51695200212</v>
      </c>
      <c r="Q56" s="33">
        <f t="shared" si="7"/>
        <v>2089.89165552144</v>
      </c>
      <c r="R56" s="33">
        <v>28738.011465114301</v>
      </c>
      <c r="S56" s="25">
        <f t="shared" si="9"/>
        <v>0.65811461154224726</v>
      </c>
      <c r="T56" s="36"/>
    </row>
    <row r="57" spans="3:20" ht="16.5" thickTop="1" thickBot="1" x14ac:dyDescent="0.3">
      <c r="C57" s="19" t="s">
        <v>18</v>
      </c>
      <c r="D57" s="10">
        <f t="shared" si="0"/>
        <v>6074.9507536732299</v>
      </c>
      <c r="E57" s="10">
        <f t="shared" si="1"/>
        <v>7855.7701358477298</v>
      </c>
      <c r="F57" s="10">
        <f t="shared" si="2"/>
        <v>8373.7801311706407</v>
      </c>
      <c r="G57" s="10">
        <f t="shared" si="3"/>
        <v>7968.4245676565797</v>
      </c>
      <c r="H57" s="10">
        <v>122627.885955647</v>
      </c>
      <c r="I57" s="4">
        <f t="shared" si="8"/>
        <v>1.3100797500026786</v>
      </c>
      <c r="J57" s="29"/>
      <c r="K57" s="1"/>
      <c r="L57" s="1"/>
      <c r="M57" s="19" t="s">
        <v>18</v>
      </c>
      <c r="N57" s="33">
        <f t="shared" si="4"/>
        <v>1433.87538450792</v>
      </c>
      <c r="O57" s="33">
        <f t="shared" si="5"/>
        <v>1828.9204350058801</v>
      </c>
      <c r="P57" s="33">
        <f t="shared" si="6"/>
        <v>2163.21973626505</v>
      </c>
      <c r="Q57" s="33">
        <f t="shared" si="7"/>
        <v>2107.2608477640201</v>
      </c>
      <c r="R57" s="33">
        <v>29757.202586297601</v>
      </c>
      <c r="S57" s="25">
        <f t="shared" si="9"/>
        <v>0.68145459001010633</v>
      </c>
      <c r="T57" s="36"/>
    </row>
    <row r="58" spans="3:20" ht="16.5" thickTop="1" thickBot="1" x14ac:dyDescent="0.3">
      <c r="C58" s="3" t="s">
        <v>29</v>
      </c>
      <c r="D58" s="8">
        <f t="shared" si="0"/>
        <v>9433.5834489051995</v>
      </c>
      <c r="E58" s="8">
        <f t="shared" si="1"/>
        <v>9550.84437197433</v>
      </c>
      <c r="F58" s="8">
        <f t="shared" si="2"/>
        <v>9512.01902137055</v>
      </c>
      <c r="G58" s="8">
        <f t="shared" si="3"/>
        <v>8905.8135615081392</v>
      </c>
      <c r="H58" s="8">
        <v>74651.842291819295</v>
      </c>
      <c r="I58" s="41">
        <f t="shared" si="8"/>
        <v>0.79753366148935345</v>
      </c>
      <c r="J58" s="29"/>
      <c r="K58" s="1"/>
      <c r="L58" s="1"/>
      <c r="M58" s="3" t="s">
        <v>29</v>
      </c>
      <c r="N58" s="21">
        <f t="shared" si="4"/>
        <v>1955.0692256386801</v>
      </c>
      <c r="O58" s="21">
        <f t="shared" si="5"/>
        <v>1959.87685141363</v>
      </c>
      <c r="P58" s="21">
        <f t="shared" si="6"/>
        <v>2214.2199548264198</v>
      </c>
      <c r="Q58" s="21">
        <f t="shared" si="7"/>
        <v>2239.29348331248</v>
      </c>
      <c r="R58" s="21">
        <v>27807.494535788501</v>
      </c>
      <c r="S58" s="41">
        <f t="shared" si="9"/>
        <v>0.63680531572614241</v>
      </c>
      <c r="T58" s="6"/>
    </row>
    <row r="59" spans="3:20" ht="15.75" thickTop="1" x14ac:dyDescent="0.25">
      <c r="C59" s="42" t="s">
        <v>25</v>
      </c>
      <c r="D59" s="14">
        <f t="shared" si="0"/>
        <v>7691.6569374999899</v>
      </c>
      <c r="E59" s="14">
        <f t="shared" si="1"/>
        <v>7436.03941935483</v>
      </c>
      <c r="F59" s="14">
        <f t="shared" si="2"/>
        <v>7637.51812080536</v>
      </c>
      <c r="G59" s="14">
        <f t="shared" si="3"/>
        <v>7607.7796350364897</v>
      </c>
      <c r="H59" s="14">
        <v>83461.560749999902</v>
      </c>
      <c r="I59" s="4">
        <f t="shared" si="8"/>
        <v>0.89165119165261197</v>
      </c>
      <c r="J59" s="1"/>
      <c r="K59" s="1"/>
      <c r="L59" s="1"/>
      <c r="M59" s="42" t="s">
        <v>25</v>
      </c>
      <c r="N59" s="43">
        <f t="shared" ref="N59" si="10">D38</f>
        <v>1930.588375</v>
      </c>
      <c r="O59" s="43">
        <f t="shared" ref="O59" si="11">I38</f>
        <v>1958.07432258064</v>
      </c>
      <c r="P59" s="43">
        <f t="shared" ref="P59" si="12">O38</f>
        <v>2021.0426174496599</v>
      </c>
      <c r="Q59" s="43">
        <f t="shared" ref="Q59" si="13">AA38</f>
        <v>2250.17437956204</v>
      </c>
      <c r="R59" s="43">
        <v>36669.258187500003</v>
      </c>
      <c r="S59" s="4">
        <f t="shared" si="9"/>
        <v>0.83974406638761323</v>
      </c>
      <c r="T59" s="6"/>
    </row>
    <row r="60" spans="3:20" x14ac:dyDescent="0.25">
      <c r="C60" s="5"/>
    </row>
    <row r="61" spans="3:20" x14ac:dyDescent="0.25">
      <c r="C61" s="5"/>
      <c r="D61" s="47">
        <f>D44/1000</f>
        <v>5.3503791874999997</v>
      </c>
      <c r="E61" s="47">
        <f t="shared" ref="E61:H61" si="14">E44/1000</f>
        <v>6.8605435483870894</v>
      </c>
      <c r="F61" s="47">
        <f t="shared" si="14"/>
        <v>7.3531129530201298</v>
      </c>
      <c r="G61" s="47">
        <f t="shared" si="14"/>
        <v>7.9384827007299199</v>
      </c>
      <c r="H61" s="47">
        <f t="shared" si="14"/>
        <v>93.603374875</v>
      </c>
      <c r="I61" s="26" t="s">
        <v>19</v>
      </c>
      <c r="N61" s="47">
        <f>N44/1000</f>
        <v>1.3431270625</v>
      </c>
      <c r="O61" s="47">
        <f t="shared" ref="O61:R61" si="15">O44/1000</f>
        <v>2.1469616774193501</v>
      </c>
      <c r="P61" s="47">
        <f t="shared" si="15"/>
        <v>2.6238322147651001</v>
      </c>
      <c r="Q61" s="47">
        <f t="shared" si="15"/>
        <v>3.2730308759123998</v>
      </c>
      <c r="R61" s="47">
        <f t="shared" si="15"/>
        <v>43.667183437499901</v>
      </c>
      <c r="S61" s="26" t="s">
        <v>19</v>
      </c>
    </row>
    <row r="62" spans="3:20" x14ac:dyDescent="0.25">
      <c r="C62" s="5"/>
      <c r="D62" s="47">
        <f t="shared" ref="D62:H76" si="16">D45/1000</f>
        <v>8.7066923283446496</v>
      </c>
      <c r="E62" s="47">
        <f t="shared" si="16"/>
        <v>8.2006334953531095</v>
      </c>
      <c r="F62" s="47">
        <f t="shared" si="16"/>
        <v>8.128497142211101</v>
      </c>
      <c r="G62" s="47">
        <f t="shared" si="16"/>
        <v>7.58069223178755</v>
      </c>
      <c r="H62" s="47">
        <f t="shared" si="16"/>
        <v>109.933030570716</v>
      </c>
      <c r="I62" s="46">
        <f>I45</f>
        <v>1.1744558432591024</v>
      </c>
      <c r="N62" s="47">
        <f t="shared" ref="N62:R76" si="17">N45/1000</f>
        <v>1.8819791386187201</v>
      </c>
      <c r="O62" s="47">
        <f t="shared" si="17"/>
        <v>2.4018861089769499</v>
      </c>
      <c r="P62" s="47">
        <f t="shared" si="17"/>
        <v>2.2264515384047301</v>
      </c>
      <c r="Q62" s="47">
        <f t="shared" si="17"/>
        <v>2.2511603148636401</v>
      </c>
      <c r="R62" s="47">
        <f t="shared" si="17"/>
        <v>34.463640830371503</v>
      </c>
      <c r="S62" s="46">
        <f>S45</f>
        <v>0.7892343429866211</v>
      </c>
    </row>
    <row r="63" spans="3:20" x14ac:dyDescent="0.25">
      <c r="C63" s="5"/>
      <c r="D63" s="47">
        <f t="shared" si="16"/>
        <v>6.6233419157250104</v>
      </c>
      <c r="E63" s="47">
        <f t="shared" si="16"/>
        <v>8.2039541329852597</v>
      </c>
      <c r="F63" s="47">
        <f t="shared" si="16"/>
        <v>8.2257999989466608</v>
      </c>
      <c r="G63" s="47">
        <f t="shared" si="16"/>
        <v>8.4919609852242193</v>
      </c>
      <c r="H63" s="47">
        <f t="shared" si="16"/>
        <v>131.86159524696799</v>
      </c>
      <c r="I63" s="46">
        <f t="shared" ref="I63:I76" si="18">I46</f>
        <v>1.4087269334365227</v>
      </c>
      <c r="J63" s="40"/>
      <c r="K63" s="40"/>
      <c r="L63" s="40"/>
      <c r="M63" s="40"/>
      <c r="N63" s="47">
        <f t="shared" si="17"/>
        <v>1.6159303810082799</v>
      </c>
      <c r="O63" s="47">
        <f t="shared" si="17"/>
        <v>2.1550271344716796</v>
      </c>
      <c r="P63" s="47">
        <f t="shared" si="17"/>
        <v>2.2335128598649296</v>
      </c>
      <c r="Q63" s="47">
        <f t="shared" si="17"/>
        <v>2.57090544831332</v>
      </c>
      <c r="R63" s="47">
        <f t="shared" si="17"/>
        <v>34.403644928915604</v>
      </c>
      <c r="S63" s="46">
        <f t="shared" ref="S63:S76" si="19">S46</f>
        <v>0.78786040730465146</v>
      </c>
    </row>
    <row r="64" spans="3:20" x14ac:dyDescent="0.25">
      <c r="D64" s="47">
        <f t="shared" si="16"/>
        <v>6.5617125731846899</v>
      </c>
      <c r="E64" s="47">
        <f t="shared" si="16"/>
        <v>8.5387931912067199</v>
      </c>
      <c r="F64" s="47">
        <f t="shared" si="16"/>
        <v>8.8694957505696301</v>
      </c>
      <c r="G64" s="47">
        <f t="shared" si="16"/>
        <v>9.3854731022525897</v>
      </c>
      <c r="H64" s="47">
        <f t="shared" si="16"/>
        <v>145.80636686893502</v>
      </c>
      <c r="I64" s="46">
        <f t="shared" si="18"/>
        <v>1.5577041646591059</v>
      </c>
      <c r="N64" s="47">
        <f t="shared" si="17"/>
        <v>1.5149968085451502</v>
      </c>
      <c r="O64" s="47">
        <f t="shared" si="17"/>
        <v>2.0705649567881501</v>
      </c>
      <c r="P64" s="47">
        <f t="shared" si="17"/>
        <v>2.25142777870734</v>
      </c>
      <c r="Q64" s="47">
        <f t="shared" si="17"/>
        <v>2.76230699725757</v>
      </c>
      <c r="R64" s="47">
        <f t="shared" si="17"/>
        <v>34.668583611948996</v>
      </c>
      <c r="S64" s="46">
        <f t="shared" si="19"/>
        <v>0.79392763358712048</v>
      </c>
    </row>
    <row r="65" spans="4:19" x14ac:dyDescent="0.25">
      <c r="D65" s="47">
        <f t="shared" si="16"/>
        <v>5.92830905374531</v>
      </c>
      <c r="E65" s="47">
        <f t="shared" si="16"/>
        <v>7.8870628311450499</v>
      </c>
      <c r="F65" s="47">
        <f t="shared" si="16"/>
        <v>7.8389530077101401</v>
      </c>
      <c r="G65" s="47">
        <f t="shared" si="16"/>
        <v>8.4609143339646504</v>
      </c>
      <c r="H65" s="47">
        <f t="shared" si="16"/>
        <v>115.19078411844899</v>
      </c>
      <c r="I65" s="46">
        <f t="shared" si="18"/>
        <v>1.2306263985916885</v>
      </c>
      <c r="J65" s="37"/>
      <c r="K65" s="37"/>
      <c r="L65" s="37"/>
      <c r="M65" s="37"/>
      <c r="N65" s="47">
        <f t="shared" si="17"/>
        <v>1.5301291205621999</v>
      </c>
      <c r="O65" s="47">
        <f t="shared" si="17"/>
        <v>2.0951252567415799</v>
      </c>
      <c r="P65" s="47">
        <f t="shared" si="17"/>
        <v>2.2602666125881901</v>
      </c>
      <c r="Q65" s="47">
        <f t="shared" si="17"/>
        <v>2.7196499983476303</v>
      </c>
      <c r="R65" s="47">
        <f t="shared" si="17"/>
        <v>34.013458237583301</v>
      </c>
      <c r="S65" s="46">
        <f t="shared" si="19"/>
        <v>0.77892493996701628</v>
      </c>
    </row>
    <row r="66" spans="4:19" x14ac:dyDescent="0.25">
      <c r="D66" s="47">
        <f t="shared" si="16"/>
        <v>5.9464630792615703</v>
      </c>
      <c r="E66" s="47">
        <f t="shared" si="16"/>
        <v>7.6722729815371506</v>
      </c>
      <c r="F66" s="47">
        <f t="shared" si="16"/>
        <v>7.6398895900300001</v>
      </c>
      <c r="G66" s="47">
        <f t="shared" si="16"/>
        <v>7.98545121233012</v>
      </c>
      <c r="H66" s="47">
        <f t="shared" si="16"/>
        <v>108.526692296085</v>
      </c>
      <c r="I66" s="46">
        <f t="shared" si="18"/>
        <v>1.1594314034190962</v>
      </c>
      <c r="N66" s="47">
        <f t="shared" si="17"/>
        <v>1.4340682835399901</v>
      </c>
      <c r="O66" s="47">
        <f t="shared" si="17"/>
        <v>2.0969861508058201</v>
      </c>
      <c r="P66" s="47">
        <f t="shared" si="17"/>
        <v>2.2965020663667199</v>
      </c>
      <c r="Q66" s="47">
        <f t="shared" si="17"/>
        <v>2.7540299947778499</v>
      </c>
      <c r="R66" s="47">
        <f t="shared" si="17"/>
        <v>35.533261592876904</v>
      </c>
      <c r="S66" s="46">
        <f t="shared" si="19"/>
        <v>0.81372918506949399</v>
      </c>
    </row>
    <row r="67" spans="4:19" x14ac:dyDescent="0.25">
      <c r="D67" s="47">
        <f t="shared" si="16"/>
        <v>5.81413233078466</v>
      </c>
      <c r="E67" s="47">
        <f t="shared" si="16"/>
        <v>7.4513453635232398</v>
      </c>
      <c r="F67" s="47">
        <f t="shared" si="16"/>
        <v>7.3167296715429702</v>
      </c>
      <c r="G67" s="47">
        <f t="shared" si="16"/>
        <v>7.6418538591234597</v>
      </c>
      <c r="H67" s="47">
        <f t="shared" si="16"/>
        <v>95.535250979627705</v>
      </c>
      <c r="I67" s="46">
        <f t="shared" si="18"/>
        <v>1.0206389578068908</v>
      </c>
      <c r="N67" s="47">
        <f t="shared" si="17"/>
        <v>1.47614294735041</v>
      </c>
      <c r="O67" s="47">
        <f t="shared" si="17"/>
        <v>2.2308290890756397</v>
      </c>
      <c r="P67" s="47">
        <f t="shared" si="17"/>
        <v>2.49532205296781</v>
      </c>
      <c r="Q67" s="47">
        <f t="shared" si="17"/>
        <v>3.0538051377819704</v>
      </c>
      <c r="R67" s="47">
        <f t="shared" si="17"/>
        <v>41.728950728925099</v>
      </c>
      <c r="S67" s="46">
        <f t="shared" si="19"/>
        <v>0.95561351669614869</v>
      </c>
    </row>
    <row r="68" spans="4:19" x14ac:dyDescent="0.25">
      <c r="D68" s="47">
        <f t="shared" si="16"/>
        <v>5.7751984545911199</v>
      </c>
      <c r="E68" s="47">
        <f t="shared" si="16"/>
        <v>7.4100450139380296</v>
      </c>
      <c r="F68" s="47">
        <f t="shared" si="16"/>
        <v>7.2756688697367595</v>
      </c>
      <c r="G68" s="47">
        <f t="shared" si="16"/>
        <v>7.6009526785370802</v>
      </c>
      <c r="H68" s="47">
        <f t="shared" si="16"/>
        <v>94.347099121565805</v>
      </c>
      <c r="I68" s="46">
        <f t="shared" si="18"/>
        <v>1.0079454853797631</v>
      </c>
      <c r="N68" s="47">
        <f t="shared" si="17"/>
        <v>1.4374689927991502</v>
      </c>
      <c r="O68" s="47">
        <f t="shared" si="17"/>
        <v>2.2411584292939501</v>
      </c>
      <c r="P68" s="47">
        <f t="shared" si="17"/>
        <v>2.5164127195616701</v>
      </c>
      <c r="Q68" s="47">
        <f t="shared" si="17"/>
        <v>3.1167601924352697</v>
      </c>
      <c r="R68" s="47">
        <f t="shared" si="17"/>
        <v>42.218295351931197</v>
      </c>
      <c r="S68" s="46">
        <f t="shared" si="19"/>
        <v>0.96681974948893901</v>
      </c>
    </row>
    <row r="69" spans="4:19" x14ac:dyDescent="0.25">
      <c r="D69" s="47">
        <f t="shared" si="16"/>
        <v>5.8440039706107596</v>
      </c>
      <c r="E69" s="47">
        <f t="shared" si="16"/>
        <v>7.4749497529022202</v>
      </c>
      <c r="F69" s="47">
        <f t="shared" si="16"/>
        <v>7.3315481686053996</v>
      </c>
      <c r="G69" s="47">
        <f t="shared" si="16"/>
        <v>7.6369820081811408</v>
      </c>
      <c r="H69" s="47">
        <f t="shared" si="16"/>
        <v>97.505427450453197</v>
      </c>
      <c r="I69" s="46">
        <f t="shared" si="18"/>
        <v>1.0416870928069002</v>
      </c>
      <c r="N69" s="47">
        <f t="shared" si="17"/>
        <v>1.4058534013619701</v>
      </c>
      <c r="O69" s="47">
        <f t="shared" si="17"/>
        <v>2.2649983470366202</v>
      </c>
      <c r="P69" s="47">
        <f t="shared" si="17"/>
        <v>2.5424756513888203</v>
      </c>
      <c r="Q69" s="47">
        <f t="shared" si="17"/>
        <v>3.1563106582630898</v>
      </c>
      <c r="R69" s="47">
        <f t="shared" si="17"/>
        <v>43.236979826974199</v>
      </c>
      <c r="S69" s="46">
        <f t="shared" si="19"/>
        <v>0.99014812551074094</v>
      </c>
    </row>
    <row r="70" spans="4:19" x14ac:dyDescent="0.25">
      <c r="D70" s="47">
        <f t="shared" si="16"/>
        <v>5.8631640074966196</v>
      </c>
      <c r="E70" s="47">
        <f t="shared" si="16"/>
        <v>7.4618409563208701</v>
      </c>
      <c r="F70" s="47">
        <f t="shared" si="16"/>
        <v>7.3114950460335901</v>
      </c>
      <c r="G70" s="47">
        <f t="shared" si="16"/>
        <v>7.6211967418665596</v>
      </c>
      <c r="H70" s="47">
        <f t="shared" si="16"/>
        <v>97.267296411100006</v>
      </c>
      <c r="I70" s="46">
        <f t="shared" si="18"/>
        <v>1.0391430495000089</v>
      </c>
      <c r="N70" s="47">
        <f t="shared" si="17"/>
        <v>1.3909286264043701</v>
      </c>
      <c r="O70" s="47">
        <f t="shared" si="17"/>
        <v>2.2084287788700898</v>
      </c>
      <c r="P70" s="47">
        <f t="shared" si="17"/>
        <v>2.4712438284815597</v>
      </c>
      <c r="Q70" s="47">
        <f t="shared" si="17"/>
        <v>3.0807806293339399</v>
      </c>
      <c r="R70" s="47">
        <f t="shared" si="17"/>
        <v>41.689631624394899</v>
      </c>
      <c r="S70" s="46">
        <f t="shared" si="19"/>
        <v>0.95471308984387693</v>
      </c>
    </row>
    <row r="71" spans="4:19" x14ac:dyDescent="0.25">
      <c r="D71" s="47">
        <f t="shared" si="16"/>
        <v>5.82913779724087</v>
      </c>
      <c r="E71" s="47">
        <f t="shared" si="16"/>
        <v>7.3109940340993802</v>
      </c>
      <c r="F71" s="47">
        <f t="shared" si="16"/>
        <v>7.2026214566647306</v>
      </c>
      <c r="G71" s="47">
        <f t="shared" si="16"/>
        <v>7.5625439192350203</v>
      </c>
      <c r="H71" s="47">
        <f t="shared" si="16"/>
        <v>93.769019548651997</v>
      </c>
      <c r="I71" s="46">
        <f t="shared" si="18"/>
        <v>1.0017696442449133</v>
      </c>
      <c r="N71" s="47">
        <f t="shared" si="17"/>
        <v>1.3978995572667701</v>
      </c>
      <c r="O71" s="47">
        <f t="shared" si="17"/>
        <v>2.04344193952043</v>
      </c>
      <c r="P71" s="47">
        <f t="shared" si="17"/>
        <v>2.2527263919645604</v>
      </c>
      <c r="Q71" s="47">
        <f t="shared" si="17"/>
        <v>2.8171071379538999</v>
      </c>
      <c r="R71" s="47">
        <f t="shared" si="17"/>
        <v>35.970628038368098</v>
      </c>
      <c r="S71" s="46">
        <f t="shared" si="19"/>
        <v>0.82374509200604273</v>
      </c>
    </row>
    <row r="72" spans="4:19" x14ac:dyDescent="0.25">
      <c r="D72" s="47">
        <f t="shared" si="16"/>
        <v>8.7680360625000002</v>
      </c>
      <c r="E72" s="47">
        <f t="shared" si="16"/>
        <v>8.6428027741935498</v>
      </c>
      <c r="F72" s="47">
        <f t="shared" si="16"/>
        <v>8.8128551006711398</v>
      </c>
      <c r="G72" s="47">
        <f t="shared" si="16"/>
        <v>8.7345931386861295</v>
      </c>
      <c r="H72" s="47">
        <f t="shared" si="16"/>
        <v>85.204319749999996</v>
      </c>
      <c r="I72" s="46">
        <f t="shared" si="18"/>
        <v>0.9102697404210448</v>
      </c>
      <c r="N72" s="47">
        <f t="shared" si="17"/>
        <v>2.2033027499999998</v>
      </c>
      <c r="O72" s="47">
        <f t="shared" si="17"/>
        <v>2.1521519999999899</v>
      </c>
      <c r="P72" s="47">
        <f t="shared" si="17"/>
        <v>2.21664704697986</v>
      </c>
      <c r="Q72" s="47">
        <f t="shared" si="17"/>
        <v>2.2255975182481702</v>
      </c>
      <c r="R72" s="47">
        <f t="shared" si="17"/>
        <v>27.011183062499899</v>
      </c>
      <c r="S72" s="46">
        <f t="shared" si="19"/>
        <v>0.61856939092855723</v>
      </c>
    </row>
    <row r="73" spans="4:19" x14ac:dyDescent="0.25">
      <c r="D73" s="47">
        <f t="shared" si="16"/>
        <v>6.4388419497526304</v>
      </c>
      <c r="E73" s="47">
        <f t="shared" si="16"/>
        <v>7.6523239516667703</v>
      </c>
      <c r="F73" s="47">
        <f t="shared" si="16"/>
        <v>7.3182251660676503</v>
      </c>
      <c r="G73" s="47">
        <f t="shared" si="16"/>
        <v>7.2487485219226802</v>
      </c>
      <c r="H73" s="47">
        <f t="shared" si="16"/>
        <v>69.759368212305503</v>
      </c>
      <c r="I73" s="46">
        <f t="shared" si="18"/>
        <v>0.74526552387094691</v>
      </c>
      <c r="N73" s="47">
        <f t="shared" si="17"/>
        <v>1.4029061450270301</v>
      </c>
      <c r="O73" s="47">
        <f t="shared" si="17"/>
        <v>1.8281199526584602</v>
      </c>
      <c r="P73" s="47">
        <f t="shared" si="17"/>
        <v>1.9105169520021199</v>
      </c>
      <c r="Q73" s="47">
        <f t="shared" si="17"/>
        <v>2.08989165552144</v>
      </c>
      <c r="R73" s="47">
        <f t="shared" si="17"/>
        <v>28.738011465114301</v>
      </c>
      <c r="S73" s="46">
        <f t="shared" si="19"/>
        <v>0.65811461154224726</v>
      </c>
    </row>
    <row r="74" spans="4:19" x14ac:dyDescent="0.25">
      <c r="D74" s="47">
        <f t="shared" si="16"/>
        <v>6.0749507536732299</v>
      </c>
      <c r="E74" s="47">
        <f t="shared" si="16"/>
        <v>7.8557701358477301</v>
      </c>
      <c r="F74" s="47">
        <f t="shared" si="16"/>
        <v>8.3737801311706406</v>
      </c>
      <c r="G74" s="47">
        <f t="shared" si="16"/>
        <v>7.9684245676565801</v>
      </c>
      <c r="H74" s="47">
        <f t="shared" si="16"/>
        <v>122.627885955647</v>
      </c>
      <c r="I74" s="46">
        <f t="shared" si="18"/>
        <v>1.3100797500026786</v>
      </c>
      <c r="N74" s="47">
        <f t="shared" si="17"/>
        <v>1.43387538450792</v>
      </c>
      <c r="O74" s="47">
        <f t="shared" si="17"/>
        <v>1.8289204350058801</v>
      </c>
      <c r="P74" s="47">
        <f t="shared" si="17"/>
        <v>2.16321973626505</v>
      </c>
      <c r="Q74" s="47">
        <f t="shared" si="17"/>
        <v>2.10726084776402</v>
      </c>
      <c r="R74" s="47">
        <f t="shared" si="17"/>
        <v>29.757202586297602</v>
      </c>
      <c r="S74" s="46">
        <f t="shared" si="19"/>
        <v>0.68145459001010633</v>
      </c>
    </row>
    <row r="75" spans="4:19" x14ac:dyDescent="0.25">
      <c r="D75" s="47">
        <f t="shared" si="16"/>
        <v>9.4335834489051997</v>
      </c>
      <c r="E75" s="47">
        <f t="shared" si="16"/>
        <v>9.5508443719743301</v>
      </c>
      <c r="F75" s="47">
        <f t="shared" si="16"/>
        <v>9.5120190213705502</v>
      </c>
      <c r="G75" s="47">
        <f t="shared" si="16"/>
        <v>8.9058135615081397</v>
      </c>
      <c r="H75" s="47">
        <f t="shared" si="16"/>
        <v>74.651842291819293</v>
      </c>
      <c r="I75" s="46">
        <f t="shared" si="18"/>
        <v>0.79753366148935345</v>
      </c>
      <c r="N75" s="47">
        <f t="shared" si="17"/>
        <v>1.9550692256386801</v>
      </c>
      <c r="O75" s="47">
        <f t="shared" si="17"/>
        <v>1.95987685141363</v>
      </c>
      <c r="P75" s="47">
        <f t="shared" si="17"/>
        <v>2.2142199548264196</v>
      </c>
      <c r="Q75" s="47">
        <f t="shared" si="17"/>
        <v>2.2392934833124802</v>
      </c>
      <c r="R75" s="47">
        <f t="shared" si="17"/>
        <v>27.8074945357885</v>
      </c>
      <c r="S75" s="46">
        <f t="shared" si="19"/>
        <v>0.63680531572614241</v>
      </c>
    </row>
    <row r="76" spans="4:19" x14ac:dyDescent="0.25">
      <c r="D76" s="47">
        <f t="shared" si="16"/>
        <v>7.6916569374999897</v>
      </c>
      <c r="E76" s="47">
        <f t="shared" si="16"/>
        <v>7.43603941935483</v>
      </c>
      <c r="F76" s="47">
        <f t="shared" si="16"/>
        <v>7.6375181208053604</v>
      </c>
      <c r="G76" s="47">
        <f t="shared" si="16"/>
        <v>7.6077796350364899</v>
      </c>
      <c r="H76" s="47">
        <f t="shared" si="16"/>
        <v>83.461560749999904</v>
      </c>
      <c r="I76" s="46">
        <f t="shared" si="18"/>
        <v>0.89165119165261197</v>
      </c>
      <c r="N76" s="47">
        <f t="shared" si="17"/>
        <v>1.9305883750000001</v>
      </c>
      <c r="O76" s="47">
        <f t="shared" si="17"/>
        <v>1.9580743225806401</v>
      </c>
      <c r="P76" s="47">
        <f t="shared" si="17"/>
        <v>2.0210426174496599</v>
      </c>
      <c r="Q76" s="47">
        <f t="shared" si="17"/>
        <v>2.2501743795620399</v>
      </c>
      <c r="R76" s="47">
        <f t="shared" si="17"/>
        <v>36.669258187500006</v>
      </c>
      <c r="S76" s="46">
        <f t="shared" si="19"/>
        <v>0.83974406638761323</v>
      </c>
    </row>
    <row r="77" spans="4:19" x14ac:dyDescent="0.25">
      <c r="D77" s="40"/>
      <c r="E77" s="40"/>
      <c r="F77" s="40"/>
      <c r="G77" s="40"/>
      <c r="H77" s="40"/>
      <c r="I77" s="38"/>
      <c r="N77" s="40"/>
      <c r="O77" s="40"/>
      <c r="P77" s="40"/>
      <c r="Q77" s="40"/>
      <c r="R77" s="40"/>
      <c r="S77" s="38"/>
    </row>
    <row r="78" spans="4:19" x14ac:dyDescent="0.25">
      <c r="D78" s="40"/>
      <c r="E78" s="40"/>
      <c r="F78" s="40"/>
      <c r="G78" s="40"/>
      <c r="H78" s="40"/>
      <c r="I78" s="38"/>
      <c r="N78" s="40"/>
      <c r="O78" s="40"/>
      <c r="P78" s="40"/>
      <c r="Q78" s="40"/>
      <c r="R78" s="40"/>
      <c r="S78" s="38"/>
    </row>
    <row r="79" spans="4:19" x14ac:dyDescent="0.25">
      <c r="D79" s="40"/>
      <c r="E79" s="40"/>
      <c r="F79" s="40"/>
      <c r="G79" s="40"/>
      <c r="H79" s="40"/>
      <c r="I79" s="38"/>
      <c r="N79" s="40"/>
      <c r="O79" s="40"/>
      <c r="P79" s="40"/>
      <c r="Q79" s="40"/>
      <c r="R79" s="40"/>
      <c r="S79" s="38"/>
    </row>
    <row r="80" spans="4:19" x14ac:dyDescent="0.25">
      <c r="D80" s="40"/>
      <c r="E80" s="40"/>
      <c r="F80" s="40"/>
      <c r="G80" s="40"/>
      <c r="H80" s="40"/>
      <c r="I80" s="38"/>
      <c r="N80" s="40"/>
      <c r="O80" s="40"/>
      <c r="P80" s="40"/>
      <c r="Q80" s="40"/>
      <c r="R80" s="40"/>
      <c r="S80" s="38"/>
    </row>
  </sheetData>
  <mergeCells count="8">
    <mergeCell ref="H43:I43"/>
    <mergeCell ref="R43:S43"/>
    <mergeCell ref="D3:G3"/>
    <mergeCell ref="H3:K3"/>
    <mergeCell ref="B5:B16"/>
    <mergeCell ref="B23:B33"/>
    <mergeCell ref="D42:H42"/>
    <mergeCell ref="N42:R4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8A57-33C8-4581-AB0E-A98AC1F27889}">
  <sheetPr codeName="Planilha3"/>
  <dimension ref="A1:AB80"/>
  <sheetViews>
    <sheetView showGridLines="0" tabSelected="1" topLeftCell="A34" workbookViewId="0">
      <selection activeCell="R44" sqref="R44:R59"/>
    </sheetView>
  </sheetViews>
  <sheetFormatPr defaultRowHeight="15" x14ac:dyDescent="0.25"/>
  <cols>
    <col min="3" max="3" width="23.85546875" customWidth="1"/>
    <col min="4" max="4" width="12.5703125" bestFit="1" customWidth="1"/>
    <col min="5" max="7" width="12.85546875" bestFit="1" customWidth="1"/>
    <col min="8" max="8" width="11.140625" style="7" customWidth="1"/>
    <col min="9" max="12" width="12.85546875" bestFit="1" customWidth="1"/>
    <col min="13" max="13" width="21.7109375" bestFit="1" customWidth="1"/>
    <col min="14" max="18" width="12.85546875" bestFit="1" customWidth="1"/>
    <col min="19" max="19" width="12.5703125" bestFit="1" customWidth="1"/>
    <col min="20" max="20" width="12.85546875" bestFit="1" customWidth="1"/>
    <col min="21" max="22" width="12.5703125" bestFit="1" customWidth="1"/>
    <col min="23" max="23" width="12.85546875" bestFit="1" customWidth="1"/>
    <col min="24" max="27" width="12.5703125" bestFit="1" customWidth="1"/>
  </cols>
  <sheetData>
    <row r="1" spans="1:28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18.75" x14ac:dyDescent="0.25">
      <c r="A2" s="1"/>
      <c r="B2" s="1"/>
      <c r="C2" s="13"/>
      <c r="H2"/>
      <c r="AB2" s="1"/>
    </row>
    <row r="3" spans="1:28" x14ac:dyDescent="0.25">
      <c r="A3" s="1"/>
      <c r="B3" s="1"/>
      <c r="C3" s="1"/>
      <c r="D3" s="51"/>
      <c r="E3" s="51"/>
      <c r="F3" s="51"/>
      <c r="G3" s="51"/>
      <c r="H3" s="51"/>
      <c r="I3" s="51"/>
      <c r="J3" s="51"/>
      <c r="K3" s="5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15.75" thickBot="1" x14ac:dyDescent="0.3">
      <c r="A4" s="1"/>
      <c r="B4" s="1"/>
      <c r="C4" s="19" t="s">
        <v>13</v>
      </c>
      <c r="D4" s="19">
        <v>1</v>
      </c>
      <c r="E4" s="19">
        <v>2</v>
      </c>
      <c r="F4" s="19">
        <v>3</v>
      </c>
      <c r="G4" s="19">
        <v>4</v>
      </c>
      <c r="H4" s="19">
        <v>5</v>
      </c>
      <c r="I4" s="19">
        <v>6</v>
      </c>
      <c r="J4" s="19">
        <v>7</v>
      </c>
      <c r="K4" s="19">
        <v>8</v>
      </c>
      <c r="L4" s="19">
        <v>9</v>
      </c>
      <c r="M4" s="19">
        <v>10</v>
      </c>
      <c r="N4" s="19">
        <v>11</v>
      </c>
      <c r="O4" s="19">
        <v>12</v>
      </c>
      <c r="P4" s="19">
        <v>13</v>
      </c>
      <c r="Q4" s="19">
        <v>14</v>
      </c>
      <c r="R4" s="19">
        <v>15</v>
      </c>
      <c r="S4" s="19">
        <v>16</v>
      </c>
      <c r="T4" s="19">
        <v>17</v>
      </c>
      <c r="U4" s="19">
        <v>18</v>
      </c>
      <c r="V4" s="19">
        <v>19</v>
      </c>
      <c r="W4" s="19">
        <v>20</v>
      </c>
      <c r="X4" s="19">
        <v>21</v>
      </c>
      <c r="Y4" s="19">
        <v>22</v>
      </c>
      <c r="Z4" s="19">
        <v>23</v>
      </c>
      <c r="AA4" s="19">
        <v>24</v>
      </c>
    </row>
    <row r="5" spans="1:28" ht="16.5" thickTop="1" thickBot="1" x14ac:dyDescent="0.3">
      <c r="A5" s="1"/>
      <c r="B5" s="51"/>
      <c r="C5" s="3" t="s">
        <v>17</v>
      </c>
      <c r="D5" s="15">
        <v>3834.6183610390599</v>
      </c>
      <c r="E5" s="15">
        <v>4460.9628605628895</v>
      </c>
      <c r="F5" s="15">
        <v>4777.5320895094901</v>
      </c>
      <c r="G5" s="15">
        <v>4768.4499753996797</v>
      </c>
      <c r="H5" s="15">
        <v>4740.2692146810896</v>
      </c>
      <c r="I5" s="15">
        <v>4814.2077769499901</v>
      </c>
      <c r="J5" s="15">
        <v>4862.27011415584</v>
      </c>
      <c r="K5" s="15">
        <v>4903.2865497336597</v>
      </c>
      <c r="L5" s="15">
        <v>5113.7190237565701</v>
      </c>
      <c r="M5" s="15">
        <v>5094.9548780960204</v>
      </c>
      <c r="N5" s="15">
        <v>5127.2708793666598</v>
      </c>
      <c r="O5" s="15">
        <v>5256.59463217952</v>
      </c>
      <c r="P5" s="15">
        <v>5253.1346767212799</v>
      </c>
      <c r="Q5" s="15">
        <v>5262.3467548741401</v>
      </c>
      <c r="R5" s="15">
        <v>5314.2053879623199</v>
      </c>
      <c r="S5" s="15">
        <v>5376.8058475827502</v>
      </c>
      <c r="T5" s="15">
        <v>5349.2916163524196</v>
      </c>
      <c r="U5" s="15">
        <v>5464.31287150349</v>
      </c>
      <c r="V5" s="15">
        <v>5379.0805373679495</v>
      </c>
      <c r="W5" s="15">
        <v>5502.6429007819097</v>
      </c>
      <c r="X5" s="15">
        <v>5616.9939562946402</v>
      </c>
      <c r="Y5" s="15">
        <v>5710.1049518830896</v>
      </c>
      <c r="Z5" s="15">
        <v>5695.4945726050701</v>
      </c>
      <c r="AA5" s="15">
        <v>5597.1074838029099</v>
      </c>
    </row>
    <row r="6" spans="1:28" ht="15.75" thickTop="1" x14ac:dyDescent="0.25">
      <c r="A6" s="1"/>
      <c r="B6" s="51"/>
      <c r="C6" s="28" t="s">
        <v>4</v>
      </c>
      <c r="D6" s="14">
        <v>6857.7724976373702</v>
      </c>
      <c r="E6" s="14">
        <v>7597.8742257652702</v>
      </c>
      <c r="F6" s="14">
        <v>7207.8583491897898</v>
      </c>
      <c r="G6" s="14">
        <v>6769.5534771473003</v>
      </c>
      <c r="H6" s="14">
        <v>6060.2070600447296</v>
      </c>
      <c r="I6" s="14">
        <v>5863.9772159906297</v>
      </c>
      <c r="J6" s="14">
        <v>5759.9156685663602</v>
      </c>
      <c r="K6" s="14">
        <v>5958.3181109100897</v>
      </c>
      <c r="L6" s="14">
        <v>5752.7036639520902</v>
      </c>
      <c r="M6" s="14">
        <v>5616.6401235091098</v>
      </c>
      <c r="N6" s="14">
        <v>5517.2422744303904</v>
      </c>
      <c r="O6" s="14">
        <v>5701.52718855286</v>
      </c>
      <c r="P6" s="14">
        <v>5804.2976331100299</v>
      </c>
      <c r="Q6" s="14">
        <v>5662.3831407896096</v>
      </c>
      <c r="R6" s="14">
        <v>5525.0351980546602</v>
      </c>
      <c r="S6" s="14">
        <v>5528.2547417958904</v>
      </c>
      <c r="T6" s="14">
        <v>5529.9995885640401</v>
      </c>
      <c r="U6" s="14">
        <v>5600.1751458541603</v>
      </c>
      <c r="V6" s="14">
        <v>5581.6768240711099</v>
      </c>
      <c r="W6" s="14">
        <v>5613.0897022207901</v>
      </c>
      <c r="X6" s="14">
        <v>5650.5472147372502</v>
      </c>
      <c r="Y6" s="14">
        <v>5574.06201970861</v>
      </c>
      <c r="Z6" s="14">
        <v>5460.2324701376301</v>
      </c>
      <c r="AA6" s="14">
        <v>5317.4320150595904</v>
      </c>
    </row>
    <row r="7" spans="1:28" x14ac:dyDescent="0.25">
      <c r="A7" s="1"/>
      <c r="B7" s="51"/>
      <c r="C7" s="28" t="s">
        <v>5</v>
      </c>
      <c r="D7" s="14">
        <v>4790.6931082399296</v>
      </c>
      <c r="E7" s="14">
        <v>5438.5791460625296</v>
      </c>
      <c r="F7" s="14">
        <v>5878.7476128972103</v>
      </c>
      <c r="G7" s="14">
        <v>5732.3576219517599</v>
      </c>
      <c r="H7" s="14">
        <v>5649.3411147109</v>
      </c>
      <c r="I7" s="14">
        <v>5807.3967419617602</v>
      </c>
      <c r="J7" s="14">
        <v>5707.2712825487797</v>
      </c>
      <c r="K7" s="14">
        <v>5845.3019749113801</v>
      </c>
      <c r="L7" s="14">
        <v>5893.1110853766204</v>
      </c>
      <c r="M7" s="14">
        <v>5834.3469272174798</v>
      </c>
      <c r="N7" s="14">
        <v>5827.8914498334198</v>
      </c>
      <c r="O7" s="14">
        <v>5790.9006721103997</v>
      </c>
      <c r="P7" s="14">
        <v>5950.5313189513399</v>
      </c>
      <c r="Q7" s="14">
        <v>5957.8297396248699</v>
      </c>
      <c r="R7" s="14">
        <v>5950.7021186620896</v>
      </c>
      <c r="S7" s="14">
        <v>5996.1006979569502</v>
      </c>
      <c r="T7" s="14">
        <v>5975.17112506794</v>
      </c>
      <c r="U7" s="14">
        <v>6013.66908897745</v>
      </c>
      <c r="V7" s="14">
        <v>5996.0341739302903</v>
      </c>
      <c r="W7" s="14">
        <v>5972.0869235289501</v>
      </c>
      <c r="X7" s="14">
        <v>5914.7225593356698</v>
      </c>
      <c r="Y7" s="14">
        <v>5981.9159973475698</v>
      </c>
      <c r="Z7" s="14">
        <v>6045.1657234465401</v>
      </c>
      <c r="AA7" s="14">
        <v>6023.4844349304103</v>
      </c>
    </row>
    <row r="8" spans="1:28" x14ac:dyDescent="0.25">
      <c r="A8" s="1"/>
      <c r="B8" s="51"/>
      <c r="C8" s="28" t="s">
        <v>6</v>
      </c>
      <c r="D8" s="14">
        <v>4742.8111248690402</v>
      </c>
      <c r="E8" s="14">
        <v>5682.5330361223696</v>
      </c>
      <c r="F8" s="14">
        <v>6122.1694480574597</v>
      </c>
      <c r="G8" s="14">
        <v>5921.3286246787202</v>
      </c>
      <c r="H8" s="14">
        <v>5750.3087329239097</v>
      </c>
      <c r="I8" s="14">
        <v>6021.0058832987497</v>
      </c>
      <c r="J8" s="14">
        <v>5919.3165941617499</v>
      </c>
      <c r="K8" s="14">
        <v>5990.8506165209101</v>
      </c>
      <c r="L8" s="14">
        <v>6061.4320452014999</v>
      </c>
      <c r="M8" s="14">
        <v>6077.06611626013</v>
      </c>
      <c r="N8" s="14">
        <v>6162.6187113508504</v>
      </c>
      <c r="O8" s="14">
        <v>6248.7957470033098</v>
      </c>
      <c r="P8" s="14">
        <v>6383.2619675965798</v>
      </c>
      <c r="Q8" s="14">
        <v>6374.7570278978201</v>
      </c>
      <c r="R8" s="14">
        <v>6365.6108889260304</v>
      </c>
      <c r="S8" s="14">
        <v>6462.6260002078898</v>
      </c>
      <c r="T8" s="14">
        <v>6464.7274130972301</v>
      </c>
      <c r="U8" s="14">
        <v>6534.3014911526698</v>
      </c>
      <c r="V8" s="14">
        <v>6561.3119086380502</v>
      </c>
      <c r="W8" s="14">
        <v>6530.2559645360398</v>
      </c>
      <c r="X8" s="14">
        <v>6479.5795096844404</v>
      </c>
      <c r="Y8" s="14">
        <v>6584.8698513079198</v>
      </c>
      <c r="Z8" s="14">
        <v>6692.7443130804504</v>
      </c>
      <c r="AA8" s="14">
        <v>6674.9406516102799</v>
      </c>
    </row>
    <row r="9" spans="1:28" x14ac:dyDescent="0.25">
      <c r="A9" s="1"/>
      <c r="B9" s="51"/>
      <c r="C9" s="28" t="s">
        <v>7</v>
      </c>
      <c r="D9" s="14">
        <v>4257.8107640309699</v>
      </c>
      <c r="E9" s="14">
        <v>4947.5154888776897</v>
      </c>
      <c r="F9" s="14">
        <v>5382.4431118236098</v>
      </c>
      <c r="G9" s="14">
        <v>5454.98501239093</v>
      </c>
      <c r="H9" s="14">
        <v>5447.6298566329897</v>
      </c>
      <c r="I9" s="14">
        <v>5554.6224079511703</v>
      </c>
      <c r="J9" s="14">
        <v>5437.6010808544897</v>
      </c>
      <c r="K9" s="14">
        <v>5388.1466147472502</v>
      </c>
      <c r="L9" s="14">
        <v>5425.0157442365999</v>
      </c>
      <c r="M9" s="14">
        <v>5430.7836020802797</v>
      </c>
      <c r="N9" s="14">
        <v>5419.0967341921096</v>
      </c>
      <c r="O9" s="14">
        <v>5497.0315675913998</v>
      </c>
      <c r="P9" s="14">
        <v>5612.1371132397398</v>
      </c>
      <c r="Q9" s="14">
        <v>5671.8805913387596</v>
      </c>
      <c r="R9" s="14">
        <v>5667.5825079885499</v>
      </c>
      <c r="S9" s="14">
        <v>5760.1883109159598</v>
      </c>
      <c r="T9" s="14">
        <v>5771.7230321716797</v>
      </c>
      <c r="U9" s="14">
        <v>5856.7494202655998</v>
      </c>
      <c r="V9" s="14">
        <v>5862.0259442898996</v>
      </c>
      <c r="W9" s="14">
        <v>5821.5045803481098</v>
      </c>
      <c r="X9" s="14">
        <v>5778.9033645895297</v>
      </c>
      <c r="Y9" s="14">
        <v>5868.5625602520204</v>
      </c>
      <c r="Z9" s="14">
        <v>5954.4674036462502</v>
      </c>
      <c r="AA9" s="14">
        <v>5965.1573277160996</v>
      </c>
    </row>
    <row r="10" spans="1:28" x14ac:dyDescent="0.25">
      <c r="A10" s="1"/>
      <c r="B10" s="51"/>
      <c r="C10" s="28" t="s">
        <v>8</v>
      </c>
      <c r="D10" s="14">
        <v>4249.35999840981</v>
      </c>
      <c r="E10" s="14">
        <v>4891.46037115116</v>
      </c>
      <c r="F10" s="14">
        <v>5401.6956763432499</v>
      </c>
      <c r="G10" s="14">
        <v>5403.9048326682496</v>
      </c>
      <c r="H10" s="14">
        <v>5338.0813329715502</v>
      </c>
      <c r="I10" s="14">
        <v>5417.9807397507102</v>
      </c>
      <c r="J10" s="14">
        <v>5269.4249210775697</v>
      </c>
      <c r="K10" s="14">
        <v>5220.9930980802301</v>
      </c>
      <c r="L10" s="14">
        <v>5229.5373793854797</v>
      </c>
      <c r="M10" s="14">
        <v>5272.3060265343802</v>
      </c>
      <c r="N10" s="14">
        <v>5322.0631204697202</v>
      </c>
      <c r="O10" s="14">
        <v>5376.4583802689504</v>
      </c>
      <c r="P10" s="14">
        <v>5461.6893654298201</v>
      </c>
      <c r="Q10" s="14">
        <v>5476.0705711752998</v>
      </c>
      <c r="R10" s="14">
        <v>5448.7418610280802</v>
      </c>
      <c r="S10" s="14">
        <v>5524.1084729337499</v>
      </c>
      <c r="T10" s="14">
        <v>5521.9023527300797</v>
      </c>
      <c r="U10" s="14">
        <v>5596.4718891210996</v>
      </c>
      <c r="V10" s="14">
        <v>5603.31908271886</v>
      </c>
      <c r="W10" s="14">
        <v>5571.3328318569102</v>
      </c>
      <c r="X10" s="14">
        <v>5521.7590247651697</v>
      </c>
      <c r="Y10" s="14">
        <v>5590.9814079081498</v>
      </c>
      <c r="Z10" s="14">
        <v>5670.0383380585599</v>
      </c>
      <c r="AA10" s="14">
        <v>5686.7815939531001</v>
      </c>
    </row>
    <row r="11" spans="1:28" x14ac:dyDescent="0.25">
      <c r="A11" s="1"/>
      <c r="B11" s="51"/>
      <c r="C11" s="28" t="s">
        <v>9</v>
      </c>
      <c r="D11" s="14">
        <v>4148.6527519741303</v>
      </c>
      <c r="E11" s="14">
        <v>4691.9961078830602</v>
      </c>
      <c r="F11" s="14">
        <v>5063.7623879072598</v>
      </c>
      <c r="G11" s="14">
        <v>5050.1573759785497</v>
      </c>
      <c r="H11" s="14">
        <v>5031.9381201940796</v>
      </c>
      <c r="I11" s="14">
        <v>5184.3086756067696</v>
      </c>
      <c r="J11" s="14">
        <v>5044.3100013759804</v>
      </c>
      <c r="K11" s="14">
        <v>5019.27272492058</v>
      </c>
      <c r="L11" s="14">
        <v>5055.6491652839604</v>
      </c>
      <c r="M11" s="14">
        <v>5075.6332307526</v>
      </c>
      <c r="N11" s="14">
        <v>5063.1521735483902</v>
      </c>
      <c r="O11" s="14">
        <v>5121.9767575155402</v>
      </c>
      <c r="P11" s="14">
        <v>5207.80268846133</v>
      </c>
      <c r="Q11" s="14">
        <v>5219.2346836025899</v>
      </c>
      <c r="R11" s="14">
        <v>5217.2373893655904</v>
      </c>
      <c r="S11" s="14">
        <v>5277.8760983539296</v>
      </c>
      <c r="T11" s="14">
        <v>5289.9616907913496</v>
      </c>
      <c r="U11" s="14">
        <v>5386.1628611863698</v>
      </c>
      <c r="V11" s="14">
        <v>5383.5818099705502</v>
      </c>
      <c r="W11" s="14">
        <v>5331.1530035147698</v>
      </c>
      <c r="X11" s="14">
        <v>5277.7379865688699</v>
      </c>
      <c r="Y11" s="14">
        <v>5320.4040373198204</v>
      </c>
      <c r="Z11" s="14">
        <v>5377.3234936753097</v>
      </c>
      <c r="AA11" s="14">
        <v>5386.1932412615697</v>
      </c>
    </row>
    <row r="12" spans="1:28" ht="15.75" thickBot="1" x14ac:dyDescent="0.3">
      <c r="A12" s="1"/>
      <c r="B12" s="51"/>
      <c r="C12" s="19" t="s">
        <v>10</v>
      </c>
      <c r="D12" s="16">
        <v>4140.6255518159196</v>
      </c>
      <c r="E12" s="16">
        <v>4711.9866147773701</v>
      </c>
      <c r="F12" s="16">
        <v>5149.2852474192596</v>
      </c>
      <c r="G12" s="16">
        <v>5177.11809113032</v>
      </c>
      <c r="H12" s="16">
        <v>5132.5212813651096</v>
      </c>
      <c r="I12" s="16">
        <v>5195.7117954449895</v>
      </c>
      <c r="J12" s="16">
        <v>5070.08871054461</v>
      </c>
      <c r="K12" s="16">
        <v>5014.2107318358703</v>
      </c>
      <c r="L12" s="16">
        <v>5025.4518329797502</v>
      </c>
      <c r="M12" s="16">
        <v>5033.6872839955504</v>
      </c>
      <c r="N12" s="16">
        <v>5030.06642449023</v>
      </c>
      <c r="O12" s="16">
        <v>5095.81509178533</v>
      </c>
      <c r="P12" s="16">
        <v>5177.8956772974498</v>
      </c>
      <c r="Q12" s="16">
        <v>5201.8332229854404</v>
      </c>
      <c r="R12" s="16">
        <v>5186.8670375428301</v>
      </c>
      <c r="S12" s="16">
        <v>5259.4071622065703</v>
      </c>
      <c r="T12" s="16">
        <v>5256.0057458956098</v>
      </c>
      <c r="U12" s="16">
        <v>5338.7574008243</v>
      </c>
      <c r="V12" s="16">
        <v>5329.9284700137296</v>
      </c>
      <c r="W12" s="16">
        <v>5290.4643254544999</v>
      </c>
      <c r="X12" s="16">
        <v>5247.35354822508</v>
      </c>
      <c r="Y12" s="16">
        <v>5308.5104429963303</v>
      </c>
      <c r="Z12" s="16">
        <v>5374.1337446751104</v>
      </c>
      <c r="AA12" s="16">
        <v>5390.71400420185</v>
      </c>
    </row>
    <row r="13" spans="1:28" ht="15.75" thickTop="1" x14ac:dyDescent="0.25">
      <c r="A13" s="1"/>
      <c r="B13" s="51"/>
      <c r="C13" s="48" t="s">
        <v>26</v>
      </c>
      <c r="D13" s="14">
        <v>4167.8717283755404</v>
      </c>
      <c r="E13" s="14">
        <v>4751.25949247478</v>
      </c>
      <c r="F13" s="14">
        <v>5211.6840495640899</v>
      </c>
      <c r="G13" s="14">
        <v>5199.9341951984497</v>
      </c>
      <c r="H13" s="14">
        <v>5163.4202736133202</v>
      </c>
      <c r="I13" s="14">
        <v>5246.2532286114902</v>
      </c>
      <c r="J13" s="14">
        <v>5114.7732892576496</v>
      </c>
      <c r="K13" s="14">
        <v>5062.4229757151898</v>
      </c>
      <c r="L13" s="14">
        <v>5077.1042400767101</v>
      </c>
      <c r="M13" s="14">
        <v>5078.4548342034004</v>
      </c>
      <c r="N13" s="14">
        <v>5079.1049793122802</v>
      </c>
      <c r="O13" s="14">
        <v>5139.92667774456</v>
      </c>
      <c r="P13" s="14">
        <v>5232.72739106686</v>
      </c>
      <c r="Q13" s="14">
        <v>5270.1367828579596</v>
      </c>
      <c r="R13" s="14">
        <v>5246.4867477013004</v>
      </c>
      <c r="S13" s="14">
        <v>5315.1598545231</v>
      </c>
      <c r="T13" s="14">
        <v>5315.0326025385903</v>
      </c>
      <c r="U13" s="14">
        <v>5389.2582043555303</v>
      </c>
      <c r="V13" s="14">
        <v>5374.85022246882</v>
      </c>
      <c r="W13" s="14">
        <v>5326.0681623275404</v>
      </c>
      <c r="X13" s="14">
        <v>5271.63360362805</v>
      </c>
      <c r="Y13" s="14">
        <v>5333.30434688683</v>
      </c>
      <c r="Z13" s="14">
        <v>5400.5133436742499</v>
      </c>
      <c r="AA13" s="14">
        <v>5416.0500988925796</v>
      </c>
    </row>
    <row r="14" spans="1:28" x14ac:dyDescent="0.25">
      <c r="A14" s="1"/>
      <c r="B14" s="51"/>
      <c r="C14" s="48" t="s">
        <v>27</v>
      </c>
      <c r="D14" s="14">
        <v>4179.2515333936099</v>
      </c>
      <c r="E14" s="14">
        <v>4736.9690001957497</v>
      </c>
      <c r="F14" s="14">
        <v>5189.5696177139398</v>
      </c>
      <c r="G14" s="14">
        <v>5172.4640118105299</v>
      </c>
      <c r="H14" s="14">
        <v>5142.0864043094898</v>
      </c>
      <c r="I14" s="14">
        <v>5229.6500750798295</v>
      </c>
      <c r="J14" s="14">
        <v>5108.31582969384</v>
      </c>
      <c r="K14" s="14">
        <v>5062.8569644286899</v>
      </c>
      <c r="L14" s="14">
        <v>5082.3868739824302</v>
      </c>
      <c r="M14" s="14">
        <v>5080.1657030407196</v>
      </c>
      <c r="N14" s="14">
        <v>5077.4573227368401</v>
      </c>
      <c r="O14" s="14">
        <v>5132.8923670416498</v>
      </c>
      <c r="P14" s="14">
        <v>5220.8641971423003</v>
      </c>
      <c r="Q14" s="14">
        <v>5258.9026219432499</v>
      </c>
      <c r="R14" s="14">
        <v>5234.7797165776501</v>
      </c>
      <c r="S14" s="14">
        <v>5309.0528290284401</v>
      </c>
      <c r="T14" s="14">
        <v>5312.5214190955003</v>
      </c>
      <c r="U14" s="14">
        <v>5386.77050593063</v>
      </c>
      <c r="V14" s="14">
        <v>5371.2538617058799</v>
      </c>
      <c r="W14" s="14">
        <v>5320.77120657666</v>
      </c>
      <c r="X14" s="14">
        <v>5264.7913944982802</v>
      </c>
      <c r="Y14" s="14">
        <v>5324.18404197565</v>
      </c>
      <c r="Z14" s="14">
        <v>5392.5924818250996</v>
      </c>
      <c r="AA14" s="14">
        <v>5410.7169928425001</v>
      </c>
    </row>
    <row r="15" spans="1:28" ht="15.75" thickBot="1" x14ac:dyDescent="0.3">
      <c r="A15" s="1"/>
      <c r="B15" s="51"/>
      <c r="C15" s="19" t="s">
        <v>28</v>
      </c>
      <c r="D15" s="16">
        <v>4124.9300058992303</v>
      </c>
      <c r="E15" s="16">
        <v>4662.9358576402601</v>
      </c>
      <c r="F15" s="16">
        <v>5064.3643791955201</v>
      </c>
      <c r="G15" s="16">
        <v>5054.0921447119199</v>
      </c>
      <c r="H15" s="16">
        <v>5015.9349437311103</v>
      </c>
      <c r="I15" s="16">
        <v>5131.18335535607</v>
      </c>
      <c r="J15" s="16">
        <v>5042.1194681096204</v>
      </c>
      <c r="K15" s="16">
        <v>5029.2247071648399</v>
      </c>
      <c r="L15" s="16">
        <v>5070.7816795845501</v>
      </c>
      <c r="M15" s="16">
        <v>5064.0555302575203</v>
      </c>
      <c r="N15" s="16">
        <v>5049.2580324931496</v>
      </c>
      <c r="O15" s="16">
        <v>5081.9655959942602</v>
      </c>
      <c r="P15" s="16">
        <v>5125.9764601466504</v>
      </c>
      <c r="Q15" s="16">
        <v>5166.7908032997302</v>
      </c>
      <c r="R15" s="16">
        <v>5146.5907888297897</v>
      </c>
      <c r="S15" s="16">
        <v>5232.1633022488304</v>
      </c>
      <c r="T15" s="16">
        <v>5266.2399983867599</v>
      </c>
      <c r="U15" s="16">
        <v>5353.8956467580501</v>
      </c>
      <c r="V15" s="16">
        <v>5346.9601086763296</v>
      </c>
      <c r="W15" s="16">
        <v>5291.0348742196202</v>
      </c>
      <c r="X15" s="16">
        <v>5242.5662864502601</v>
      </c>
      <c r="Y15" s="16">
        <v>5292.5178790150003</v>
      </c>
      <c r="Z15" s="16">
        <v>5350.1988678220796</v>
      </c>
      <c r="AA15" s="16">
        <v>5364.8871565519003</v>
      </c>
    </row>
    <row r="16" spans="1:28" ht="16.5" thickTop="1" thickBot="1" x14ac:dyDescent="0.3">
      <c r="A16" s="1"/>
      <c r="B16" s="51"/>
      <c r="C16" s="3" t="s">
        <v>15</v>
      </c>
      <c r="D16" s="15">
        <v>8768.0360624999994</v>
      </c>
      <c r="E16" s="15">
        <v>8813.5871069182394</v>
      </c>
      <c r="F16" s="15">
        <v>8798.6308860759491</v>
      </c>
      <c r="G16" s="15">
        <v>8646.7537579617801</v>
      </c>
      <c r="H16" s="15">
        <v>8625.0183974358897</v>
      </c>
      <c r="I16" s="15">
        <v>8642.8027741935493</v>
      </c>
      <c r="J16" s="15">
        <v>8663.0919480519497</v>
      </c>
      <c r="K16" s="15">
        <v>8692.2101960784294</v>
      </c>
      <c r="L16" s="15">
        <v>8694.1711842105196</v>
      </c>
      <c r="M16" s="15">
        <v>8733.6560927152295</v>
      </c>
      <c r="N16" s="15">
        <v>8766.4360666666598</v>
      </c>
      <c r="O16" s="15">
        <v>8812.8551006711405</v>
      </c>
      <c r="P16" s="15">
        <v>8664.8544594594496</v>
      </c>
      <c r="Q16" s="15">
        <v>8722.6057823129195</v>
      </c>
      <c r="R16" s="15">
        <v>8702.3165753424601</v>
      </c>
      <c r="S16" s="15">
        <v>8639.5551034482705</v>
      </c>
      <c r="T16" s="15">
        <v>8591.9096527777692</v>
      </c>
      <c r="U16" s="15">
        <v>8646.3600699300696</v>
      </c>
      <c r="V16" s="15">
        <v>8586.4702112676005</v>
      </c>
      <c r="W16" s="18">
        <v>8590.16</v>
      </c>
      <c r="X16" s="18">
        <v>8637.2850714285705</v>
      </c>
      <c r="Y16" s="18">
        <v>8692.2589928057496</v>
      </c>
      <c r="Z16" s="18">
        <v>8711.2951449275297</v>
      </c>
      <c r="AA16" s="18">
        <v>8734.5931386861303</v>
      </c>
    </row>
    <row r="17" spans="1:27" ht="16.5" thickTop="1" thickBot="1" x14ac:dyDescent="0.3">
      <c r="A17" s="1"/>
      <c r="B17" s="28"/>
      <c r="C17" s="19" t="s">
        <v>11</v>
      </c>
      <c r="D17" s="16">
        <v>4634.7388661991299</v>
      </c>
      <c r="E17" s="16">
        <v>5008.5591930329701</v>
      </c>
      <c r="F17" s="16">
        <v>5140.6101562146796</v>
      </c>
      <c r="G17" s="16">
        <v>5212.0770714354703</v>
      </c>
      <c r="H17" s="16">
        <v>5266.0457659456497</v>
      </c>
      <c r="I17" s="16">
        <v>5307.5585155062099</v>
      </c>
      <c r="J17" s="16">
        <v>5324.2451526380401</v>
      </c>
      <c r="K17" s="16">
        <v>5362.94053034237</v>
      </c>
      <c r="L17" s="16">
        <v>5298.9612754541404</v>
      </c>
      <c r="M17" s="16">
        <v>5320.7625690901205</v>
      </c>
      <c r="N17" s="16">
        <v>5353.9092751107601</v>
      </c>
      <c r="O17" s="16">
        <v>5230.0783212546603</v>
      </c>
      <c r="P17" s="16">
        <v>5448.7462574301899</v>
      </c>
      <c r="Q17" s="16">
        <v>5444.9990352877203</v>
      </c>
      <c r="R17" s="16">
        <v>5237.9565120381503</v>
      </c>
      <c r="S17" s="16">
        <v>5227.3547975520296</v>
      </c>
      <c r="T17" s="16">
        <v>5182.9614644593003</v>
      </c>
      <c r="U17" s="16">
        <v>5232.1488385961302</v>
      </c>
      <c r="V17" s="16">
        <v>5469.0933041650096</v>
      </c>
      <c r="W17" s="17">
        <v>5399.81756982758</v>
      </c>
      <c r="X17" s="17">
        <v>5438.1674078860096</v>
      </c>
      <c r="Y17" s="17">
        <v>5472.7826764910196</v>
      </c>
      <c r="Z17" s="17">
        <v>5452.42090579058</v>
      </c>
      <c r="AA17" s="17">
        <v>5208.32652873814</v>
      </c>
    </row>
    <row r="18" spans="1:27" ht="16.5" thickTop="1" thickBot="1" x14ac:dyDescent="0.3">
      <c r="A18" s="1"/>
      <c r="B18" s="28"/>
      <c r="C18" s="19" t="s">
        <v>18</v>
      </c>
      <c r="D18" s="16">
        <v>4413.2941502024796</v>
      </c>
      <c r="E18" s="16">
        <v>5210.4742677002596</v>
      </c>
      <c r="F18" s="16">
        <v>5655.1788110514499</v>
      </c>
      <c r="G18" s="16">
        <v>5694.0237886602799</v>
      </c>
      <c r="H18" s="16">
        <v>5604.7394089620802</v>
      </c>
      <c r="I18" s="16">
        <v>5633.6388034682004</v>
      </c>
      <c r="J18" s="16">
        <v>5767.7398349109199</v>
      </c>
      <c r="K18" s="16">
        <v>5660.6691002643502</v>
      </c>
      <c r="L18" s="16">
        <v>5708.9927129091402</v>
      </c>
      <c r="M18" s="16">
        <v>5792.9174106757</v>
      </c>
      <c r="N18" s="16">
        <v>5868.4589770899302</v>
      </c>
      <c r="O18" s="16">
        <v>6010.8215174850602</v>
      </c>
      <c r="P18" s="16">
        <v>6204.6127763398099</v>
      </c>
      <c r="Q18" s="16">
        <v>6142.5350882033199</v>
      </c>
      <c r="R18" s="16">
        <v>5936.2069420790604</v>
      </c>
      <c r="S18" s="16">
        <v>5930.5424015991803</v>
      </c>
      <c r="T18" s="16">
        <v>6041.0843958465102</v>
      </c>
      <c r="U18" s="16">
        <v>6345.0028281839895</v>
      </c>
      <c r="V18" s="16">
        <v>6565.75227730805</v>
      </c>
      <c r="W18" s="17">
        <v>6474.2477868290298</v>
      </c>
      <c r="X18" s="17">
        <v>6367.89675187393</v>
      </c>
      <c r="Y18" s="17">
        <v>6287.21177483683</v>
      </c>
      <c r="Z18" s="17">
        <v>6364.59371695352</v>
      </c>
      <c r="AA18" s="17">
        <v>6492.7458122698599</v>
      </c>
    </row>
    <row r="19" spans="1:27" ht="16.5" thickTop="1" thickBot="1" x14ac:dyDescent="0.3">
      <c r="A19" s="1"/>
      <c r="B19" s="28"/>
      <c r="C19" s="3" t="s">
        <v>29</v>
      </c>
      <c r="D19" s="15">
        <v>6735.0592223621497</v>
      </c>
      <c r="E19" s="15">
        <v>6929.6304689279496</v>
      </c>
      <c r="F19" s="15">
        <v>7102.4020101301003</v>
      </c>
      <c r="G19" s="15">
        <v>6955.3680027815899</v>
      </c>
      <c r="H19" s="15">
        <v>6987.2445654347302</v>
      </c>
      <c r="I19" s="15">
        <v>6862.6496035323198</v>
      </c>
      <c r="J19" s="15">
        <v>7047.5750921718</v>
      </c>
      <c r="K19" s="15">
        <v>6993.8681737776697</v>
      </c>
      <c r="L19" s="15">
        <v>6882.8149535390703</v>
      </c>
      <c r="M19" s="15">
        <v>6925.0495394406898</v>
      </c>
      <c r="N19" s="15">
        <v>6945.4009153097204</v>
      </c>
      <c r="O19" s="15">
        <v>6778.5363875781704</v>
      </c>
      <c r="P19" s="15">
        <v>6900.4443553726796</v>
      </c>
      <c r="Q19" s="15">
        <v>6751.3041846400802</v>
      </c>
      <c r="R19" s="15">
        <v>6455.2110535716802</v>
      </c>
      <c r="S19" s="15">
        <v>6380.8195435818898</v>
      </c>
      <c r="T19" s="15">
        <v>6496.5470675701199</v>
      </c>
      <c r="U19" s="15">
        <v>6368.4254753268297</v>
      </c>
      <c r="V19" s="15">
        <v>6515.3769488444304</v>
      </c>
      <c r="W19" s="15">
        <v>6601.23891709689</v>
      </c>
      <c r="X19" s="15">
        <v>6566.5276314947996</v>
      </c>
      <c r="Y19" s="15">
        <v>6570.0707316831904</v>
      </c>
      <c r="Z19" s="15">
        <v>6363.5770543970102</v>
      </c>
      <c r="AA19" s="15">
        <v>6384.3838807375296</v>
      </c>
    </row>
    <row r="20" spans="1:27" ht="15.75" thickTop="1" x14ac:dyDescent="0.25">
      <c r="A20" s="1"/>
      <c r="B20" s="28"/>
      <c r="C20" s="42" t="s">
        <v>25</v>
      </c>
      <c r="D20" s="14">
        <v>7691.6569374999899</v>
      </c>
      <c r="E20" s="14">
        <v>7613.2637106918201</v>
      </c>
      <c r="F20" s="14">
        <v>7571.7177848101201</v>
      </c>
      <c r="G20" s="14">
        <v>7412.02592356687</v>
      </c>
      <c r="H20" s="14">
        <v>7412.33506410256</v>
      </c>
      <c r="I20" s="14">
        <v>7436.03941935483</v>
      </c>
      <c r="J20" s="14">
        <v>7469.7824025973996</v>
      </c>
      <c r="K20" s="14">
        <v>7507.5612418300598</v>
      </c>
      <c r="L20" s="14">
        <v>7526.2142763157899</v>
      </c>
      <c r="M20" s="14">
        <v>7572.5735761589403</v>
      </c>
      <c r="N20" s="14">
        <v>7598.9346666666597</v>
      </c>
      <c r="O20" s="14">
        <v>7637.51812080536</v>
      </c>
      <c r="P20" s="14">
        <v>7769.6121621621596</v>
      </c>
      <c r="Q20" s="14">
        <v>7696.9200680272097</v>
      </c>
      <c r="R20" s="14">
        <v>7649.0518493150603</v>
      </c>
      <c r="S20" s="14">
        <v>7579.0264827586197</v>
      </c>
      <c r="T20" s="14">
        <v>7491.5602083333297</v>
      </c>
      <c r="U20" s="14">
        <v>7534.6845454545401</v>
      </c>
      <c r="V20" s="14">
        <v>7490.0550704225298</v>
      </c>
      <c r="W20" s="14">
        <v>7503.8297163120496</v>
      </c>
      <c r="X20" s="14">
        <v>7545.0771428571397</v>
      </c>
      <c r="Y20" s="14">
        <v>7583.08489208633</v>
      </c>
      <c r="Z20" s="14">
        <v>7592.6469565217303</v>
      </c>
      <c r="AA20" s="14">
        <v>7607.7796350364897</v>
      </c>
    </row>
    <row r="21" spans="1:27" x14ac:dyDescent="0.25">
      <c r="A21" s="1"/>
      <c r="B21" s="1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ht="15.75" thickBot="1" x14ac:dyDescent="0.3">
      <c r="A22" s="1"/>
      <c r="B22" s="1"/>
      <c r="C22" s="19" t="s">
        <v>14</v>
      </c>
      <c r="D22" s="19">
        <v>1</v>
      </c>
      <c r="E22" s="19">
        <v>2</v>
      </c>
      <c r="F22" s="19">
        <v>3</v>
      </c>
      <c r="G22" s="19">
        <v>4</v>
      </c>
      <c r="H22" s="19">
        <v>5</v>
      </c>
      <c r="I22" s="19">
        <v>6</v>
      </c>
      <c r="J22" s="19">
        <v>7</v>
      </c>
      <c r="K22" s="19">
        <v>8</v>
      </c>
      <c r="L22" s="19">
        <v>9</v>
      </c>
      <c r="M22" s="19">
        <v>10</v>
      </c>
      <c r="N22" s="19">
        <v>11</v>
      </c>
      <c r="O22" s="19">
        <v>12</v>
      </c>
      <c r="P22" s="19">
        <v>13</v>
      </c>
      <c r="Q22" s="19">
        <v>14</v>
      </c>
      <c r="R22" s="19">
        <v>15</v>
      </c>
      <c r="S22" s="19">
        <v>16</v>
      </c>
      <c r="T22" s="19">
        <v>17</v>
      </c>
      <c r="U22" s="19">
        <v>18</v>
      </c>
      <c r="V22" s="19">
        <v>19</v>
      </c>
      <c r="W22" s="19">
        <v>20</v>
      </c>
      <c r="X22" s="19">
        <v>21</v>
      </c>
      <c r="Y22" s="19">
        <v>22</v>
      </c>
      <c r="Z22" s="19">
        <v>23</v>
      </c>
      <c r="AA22" s="19">
        <v>24</v>
      </c>
    </row>
    <row r="23" spans="1:27" ht="16.5" thickTop="1" thickBot="1" x14ac:dyDescent="0.3">
      <c r="A23" s="1"/>
      <c r="B23" s="51"/>
      <c r="C23" s="3" t="s">
        <v>17</v>
      </c>
      <c r="D23" s="15">
        <v>963.54382251406196</v>
      </c>
      <c r="E23" s="15">
        <v>1250.2429353584901</v>
      </c>
      <c r="F23" s="15">
        <v>1366.4678517294301</v>
      </c>
      <c r="G23" s="15">
        <v>1433.5460250477699</v>
      </c>
      <c r="H23" s="15">
        <v>1459.62360523397</v>
      </c>
      <c r="I23" s="15">
        <v>1497.28901961774</v>
      </c>
      <c r="J23" s="15">
        <v>1539.34141801948</v>
      </c>
      <c r="K23" s="15">
        <v>1578.7093503692799</v>
      </c>
      <c r="L23" s="15">
        <v>1640.0860996266399</v>
      </c>
      <c r="M23" s="15">
        <v>1691.23566563245</v>
      </c>
      <c r="N23" s="15">
        <v>1740.7456632200001</v>
      </c>
      <c r="O23" s="15">
        <v>1806.35812448657</v>
      </c>
      <c r="P23" s="15">
        <v>1859.16551381418</v>
      </c>
      <c r="Q23" s="15">
        <v>1919.9334851802701</v>
      </c>
      <c r="R23" s="15">
        <v>1932.0627214691699</v>
      </c>
      <c r="S23" s="15">
        <v>1962.28993362241</v>
      </c>
      <c r="T23" s="15">
        <v>1980.89392569097</v>
      </c>
      <c r="U23" s="15">
        <v>1995.11541950174</v>
      </c>
      <c r="V23" s="15">
        <v>2027.4443971549199</v>
      </c>
      <c r="W23" s="15">
        <v>2097.7406638758798</v>
      </c>
      <c r="X23" s="15">
        <v>2190.9655196482099</v>
      </c>
      <c r="Y23" s="15">
        <v>2241.7113656852498</v>
      </c>
      <c r="Z23" s="15">
        <v>2276.9970438097798</v>
      </c>
      <c r="AA23" s="15">
        <v>2266.7427383065601</v>
      </c>
    </row>
    <row r="24" spans="1:27" ht="15.75" thickTop="1" x14ac:dyDescent="0.25">
      <c r="A24" s="1"/>
      <c r="B24" s="51"/>
      <c r="C24" s="28" t="s">
        <v>4</v>
      </c>
      <c r="D24" s="14">
        <v>1473.3763759204201</v>
      </c>
      <c r="E24" s="14">
        <v>1758.3764645766</v>
      </c>
      <c r="F24" s="14">
        <v>1826.2913403938601</v>
      </c>
      <c r="G24" s="14">
        <v>1929.03734394346</v>
      </c>
      <c r="H24" s="14">
        <v>1831.9290897998001</v>
      </c>
      <c r="I24" s="14">
        <v>1769.08827706902</v>
      </c>
      <c r="J24" s="14">
        <v>1745.4914833305099</v>
      </c>
      <c r="K24" s="14">
        <v>1708.32242028154</v>
      </c>
      <c r="L24" s="14">
        <v>1647.2193942547799</v>
      </c>
      <c r="M24" s="14">
        <v>1610.76405773289</v>
      </c>
      <c r="N24" s="14">
        <v>1560.62970689077</v>
      </c>
      <c r="O24" s="14">
        <v>1559.9441795364501</v>
      </c>
      <c r="P24" s="14">
        <v>1651.0657113648199</v>
      </c>
      <c r="Q24" s="14">
        <v>1603.4823006981601</v>
      </c>
      <c r="R24" s="14">
        <v>1616.7603761033999</v>
      </c>
      <c r="S24" s="14">
        <v>1544.2876936924099</v>
      </c>
      <c r="T24" s="14">
        <v>1543.12480289676</v>
      </c>
      <c r="U24" s="14">
        <v>1562.18346916165</v>
      </c>
      <c r="V24" s="14">
        <v>1584.59201882198</v>
      </c>
      <c r="W24" s="14">
        <v>1602.8376053504501</v>
      </c>
      <c r="X24" s="14">
        <v>1573.03483171729</v>
      </c>
      <c r="Y24" s="14">
        <v>1536.9964977679999</v>
      </c>
      <c r="Z24" s="14">
        <v>1547.6828965509601</v>
      </c>
      <c r="AA24" s="14">
        <v>1569.4526482858901</v>
      </c>
    </row>
    <row r="25" spans="1:27" x14ac:dyDescent="0.25">
      <c r="A25" s="1"/>
      <c r="B25" s="51"/>
      <c r="C25" s="28" t="s">
        <v>5</v>
      </c>
      <c r="D25" s="14">
        <v>1190.8610649552099</v>
      </c>
      <c r="E25" s="14">
        <v>1439.09568206626</v>
      </c>
      <c r="F25" s="14">
        <v>1484.23879703285</v>
      </c>
      <c r="G25" s="14">
        <v>1547.2294761142</v>
      </c>
      <c r="H25" s="14">
        <v>1547.4556942741101</v>
      </c>
      <c r="I25" s="14">
        <v>1531.59683266004</v>
      </c>
      <c r="J25" s="14">
        <v>1558.61491554907</v>
      </c>
      <c r="K25" s="14">
        <v>1532.89016362707</v>
      </c>
      <c r="L25" s="14">
        <v>1496.55825068581</v>
      </c>
      <c r="M25" s="14">
        <v>1460.6719120498501</v>
      </c>
      <c r="N25" s="14">
        <v>1478.7727194761501</v>
      </c>
      <c r="O25" s="14">
        <v>1530.7205055034999</v>
      </c>
      <c r="P25" s="14">
        <v>1686.30492806192</v>
      </c>
      <c r="Q25" s="14">
        <v>1703.9100176663901</v>
      </c>
      <c r="R25" s="14">
        <v>1741.3353589380299</v>
      </c>
      <c r="S25" s="14">
        <v>1698.27081290612</v>
      </c>
      <c r="T25" s="14">
        <v>1696.7817030418701</v>
      </c>
      <c r="U25" s="14">
        <v>1722.1190265094499</v>
      </c>
      <c r="V25" s="14">
        <v>1736.26442038869</v>
      </c>
      <c r="W25" s="14">
        <v>1757.6871229099399</v>
      </c>
      <c r="X25" s="14">
        <v>1754.8411684658799</v>
      </c>
      <c r="Y25" s="14">
        <v>1749.7210563470401</v>
      </c>
      <c r="Z25" s="14">
        <v>1768.4126578273299</v>
      </c>
      <c r="AA25" s="14">
        <v>1792.7634597470101</v>
      </c>
    </row>
    <row r="26" spans="1:27" x14ac:dyDescent="0.25">
      <c r="A26" s="1"/>
      <c r="B26" s="51"/>
      <c r="C26" s="28" t="s">
        <v>6</v>
      </c>
      <c r="D26" s="14">
        <v>1097.3333780872199</v>
      </c>
      <c r="E26" s="14">
        <v>1358.47905177395</v>
      </c>
      <c r="F26" s="14">
        <v>1452.23175405027</v>
      </c>
      <c r="G26" s="14">
        <v>1468.32070906954</v>
      </c>
      <c r="H26" s="14">
        <v>1437.2100014984801</v>
      </c>
      <c r="I26" s="14">
        <v>1448.8156851454801</v>
      </c>
      <c r="J26" s="14">
        <v>1465.3238181862</v>
      </c>
      <c r="K26" s="14">
        <v>1455.1283357633199</v>
      </c>
      <c r="L26" s="14">
        <v>1442.5968441089899</v>
      </c>
      <c r="M26" s="14">
        <v>1437.7610484596501</v>
      </c>
      <c r="N26" s="14">
        <v>1472.12699822424</v>
      </c>
      <c r="O26" s="14">
        <v>1534.47746171474</v>
      </c>
      <c r="P26" s="14">
        <v>1616.1177858225799</v>
      </c>
      <c r="Q26" s="14">
        <v>1637.2208787553</v>
      </c>
      <c r="R26" s="14">
        <v>1670.5322455477501</v>
      </c>
      <c r="S26" s="14">
        <v>1631.96468838079</v>
      </c>
      <c r="T26" s="14">
        <v>1649.53171545439</v>
      </c>
      <c r="U26" s="14">
        <v>1713.1268197520801</v>
      </c>
      <c r="V26" s="14">
        <v>1758.5805882611501</v>
      </c>
      <c r="W26" s="14">
        <v>1796.61809531156</v>
      </c>
      <c r="X26" s="14">
        <v>1785.3219013421899</v>
      </c>
      <c r="Y26" s="14">
        <v>1779.3563817623401</v>
      </c>
      <c r="Z26" s="14">
        <v>1817.2208907870099</v>
      </c>
      <c r="AA26" s="14">
        <v>1852.3465664318901</v>
      </c>
    </row>
    <row r="27" spans="1:27" x14ac:dyDescent="0.25">
      <c r="A27" s="1"/>
      <c r="B27" s="51"/>
      <c r="C27" s="28" t="s">
        <v>7</v>
      </c>
      <c r="D27" s="14">
        <v>1069.28118697983</v>
      </c>
      <c r="E27" s="14">
        <v>1337.7097030520799</v>
      </c>
      <c r="F27" s="14">
        <v>1428.6157841151501</v>
      </c>
      <c r="G27" s="14">
        <v>1452.09482423093</v>
      </c>
      <c r="H27" s="14">
        <v>1429.7862849907599</v>
      </c>
      <c r="I27" s="14">
        <v>1452.89633469142</v>
      </c>
      <c r="J27" s="14">
        <v>1469.54489875684</v>
      </c>
      <c r="K27" s="14">
        <v>1474.5115468711299</v>
      </c>
      <c r="L27" s="14">
        <v>1473.0812764951299</v>
      </c>
      <c r="M27" s="14">
        <v>1462.6666814968601</v>
      </c>
      <c r="N27" s="14">
        <v>1490.65296381439</v>
      </c>
      <c r="O27" s="14">
        <v>1546.23102012449</v>
      </c>
      <c r="P27" s="14">
        <v>1641.26235452778</v>
      </c>
      <c r="Q27" s="14">
        <v>1674.88977734689</v>
      </c>
      <c r="R27" s="14">
        <v>1697.1822498174099</v>
      </c>
      <c r="S27" s="14">
        <v>1650.8127612878</v>
      </c>
      <c r="T27" s="14">
        <v>1668.13264018787</v>
      </c>
      <c r="U27" s="14">
        <v>1711.0456005795199</v>
      </c>
      <c r="V27" s="14">
        <v>1751.8626232036299</v>
      </c>
      <c r="W27" s="14">
        <v>1788.7095327069501</v>
      </c>
      <c r="X27" s="14">
        <v>1777.63563624673</v>
      </c>
      <c r="Y27" s="14">
        <v>1781.42262534989</v>
      </c>
      <c r="Z27" s="14">
        <v>1818.30964590402</v>
      </c>
      <c r="AA27" s="14">
        <v>1848.1220025776099</v>
      </c>
    </row>
    <row r="28" spans="1:27" x14ac:dyDescent="0.25">
      <c r="A28" s="1"/>
      <c r="B28" s="51"/>
      <c r="C28" s="28" t="s">
        <v>8</v>
      </c>
      <c r="D28" s="14">
        <v>1002.21355218743</v>
      </c>
      <c r="E28" s="14">
        <v>1308.5143992917101</v>
      </c>
      <c r="F28" s="14">
        <v>1401.0599819665699</v>
      </c>
      <c r="G28" s="14">
        <v>1447.8473638283899</v>
      </c>
      <c r="H28" s="14">
        <v>1441.34824856568</v>
      </c>
      <c r="I28" s="14">
        <v>1463.2975318553099</v>
      </c>
      <c r="J28" s="14">
        <v>1483.3298821185101</v>
      </c>
      <c r="K28" s="14">
        <v>1492.57509723356</v>
      </c>
      <c r="L28" s="14">
        <v>1496.8165271776099</v>
      </c>
      <c r="M28" s="14">
        <v>1492.9095346019801</v>
      </c>
      <c r="N28" s="14">
        <v>1525.77199149943</v>
      </c>
      <c r="O28" s="14">
        <v>1574.4399576082999</v>
      </c>
      <c r="P28" s="14">
        <v>1655.21285293707</v>
      </c>
      <c r="Q28" s="14">
        <v>1688.49982394724</v>
      </c>
      <c r="R28" s="14">
        <v>1721.54003236424</v>
      </c>
      <c r="S28" s="14">
        <v>1676.1739710202901</v>
      </c>
      <c r="T28" s="14">
        <v>1689.9498107633201</v>
      </c>
      <c r="U28" s="14">
        <v>1733.16602822967</v>
      </c>
      <c r="V28" s="14">
        <v>1772.7168818565001</v>
      </c>
      <c r="W28" s="14">
        <v>1808.38800893963</v>
      </c>
      <c r="X28" s="14">
        <v>1795.58522728907</v>
      </c>
      <c r="Y28" s="14">
        <v>1805.2958429341199</v>
      </c>
      <c r="Z28" s="14">
        <v>1846.9785234086401</v>
      </c>
      <c r="AA28" s="14">
        <v>1876.93292094144</v>
      </c>
    </row>
    <row r="29" spans="1:27" x14ac:dyDescent="0.25">
      <c r="A29" s="1"/>
      <c r="B29" s="51"/>
      <c r="C29" s="28" t="s">
        <v>9</v>
      </c>
      <c r="D29" s="14">
        <v>1038.5800698221101</v>
      </c>
      <c r="E29" s="14">
        <v>1322.6294724648101</v>
      </c>
      <c r="F29" s="14">
        <v>1405.39621295184</v>
      </c>
      <c r="G29" s="14">
        <v>1461.7074572505401</v>
      </c>
      <c r="H29" s="14">
        <v>1483.33145099956</v>
      </c>
      <c r="I29" s="14">
        <v>1545.9266694898799</v>
      </c>
      <c r="J29" s="14">
        <v>1580.70824688066</v>
      </c>
      <c r="K29" s="14">
        <v>1600.70961837562</v>
      </c>
      <c r="L29" s="14">
        <v>1609.3341160671</v>
      </c>
      <c r="M29" s="14">
        <v>1606.6473807100101</v>
      </c>
      <c r="N29" s="14">
        <v>1641.096704584</v>
      </c>
      <c r="O29" s="14">
        <v>1709.70262052711</v>
      </c>
      <c r="P29" s="14">
        <v>1822.73984592027</v>
      </c>
      <c r="Q29" s="14">
        <v>1861.7001120682501</v>
      </c>
      <c r="R29" s="14">
        <v>1904.4625967096599</v>
      </c>
      <c r="S29" s="14">
        <v>1863.7891445791199</v>
      </c>
      <c r="T29" s="14">
        <v>1886.82734348346</v>
      </c>
      <c r="U29" s="14">
        <v>1931.44204708603</v>
      </c>
      <c r="V29" s="14">
        <v>1973.7913254985499</v>
      </c>
      <c r="W29" s="14">
        <v>2015.3497650005299</v>
      </c>
      <c r="X29" s="14">
        <v>2002.2719437927101</v>
      </c>
      <c r="Y29" s="14">
        <v>2013.8670233530599</v>
      </c>
      <c r="Z29" s="14">
        <v>2060.3931079510699</v>
      </c>
      <c r="AA29" s="14">
        <v>2094.2893404617298</v>
      </c>
    </row>
    <row r="30" spans="1:27" ht="15.75" thickBot="1" x14ac:dyDescent="0.3">
      <c r="A30" s="1"/>
      <c r="B30" s="51"/>
      <c r="C30" s="19" t="s">
        <v>10</v>
      </c>
      <c r="D30" s="16">
        <v>1024.59995389494</v>
      </c>
      <c r="E30" s="16">
        <v>1290.5201246675199</v>
      </c>
      <c r="F30" s="16">
        <v>1402.3299720595601</v>
      </c>
      <c r="G30" s="16">
        <v>1469.15310381872</v>
      </c>
      <c r="H30" s="16">
        <v>1494.92623883993</v>
      </c>
      <c r="I30" s="16">
        <v>1554.0644855324899</v>
      </c>
      <c r="J30" s="16">
        <v>1586.17575788406</v>
      </c>
      <c r="K30" s="16">
        <v>1607.5205457156601</v>
      </c>
      <c r="L30" s="16">
        <v>1613.7415023978201</v>
      </c>
      <c r="M30" s="16">
        <v>1611.95387257318</v>
      </c>
      <c r="N30" s="16">
        <v>1650.8133699960099</v>
      </c>
      <c r="O30" s="16">
        <v>1730.25632509512</v>
      </c>
      <c r="P30" s="16">
        <v>1824.5307866319799</v>
      </c>
      <c r="Q30" s="16">
        <v>1880.9809419563301</v>
      </c>
      <c r="R30" s="16">
        <v>1930.08781130945</v>
      </c>
      <c r="S30" s="16">
        <v>1882.4857382313401</v>
      </c>
      <c r="T30" s="16">
        <v>1911.98151287165</v>
      </c>
      <c r="U30" s="16">
        <v>1959.5196253136501</v>
      </c>
      <c r="V30" s="16">
        <v>2004.4946593053501</v>
      </c>
      <c r="W30" s="16">
        <v>2049.5269489656298</v>
      </c>
      <c r="X30" s="16">
        <v>2034.1057177058401</v>
      </c>
      <c r="Y30" s="16">
        <v>2050.9418970966999</v>
      </c>
      <c r="Z30" s="16">
        <v>2097.7343044036202</v>
      </c>
      <c r="AA30" s="16">
        <v>2129.1674242823701</v>
      </c>
    </row>
    <row r="31" spans="1:27" ht="15.75" thickTop="1" x14ac:dyDescent="0.25">
      <c r="A31" s="1"/>
      <c r="B31" s="51"/>
      <c r="C31" s="48" t="s">
        <v>26</v>
      </c>
      <c r="D31" s="14">
        <v>1010.22501447786</v>
      </c>
      <c r="E31" s="14">
        <v>1279.48971730577</v>
      </c>
      <c r="F31" s="14">
        <v>1391.64215045214</v>
      </c>
      <c r="G31" s="14">
        <v>1467.61577893194</v>
      </c>
      <c r="H31" s="14">
        <v>1504.30174133782</v>
      </c>
      <c r="I31" s="14">
        <v>1572.75176026138</v>
      </c>
      <c r="J31" s="14">
        <v>1603.9159829156599</v>
      </c>
      <c r="K31" s="14">
        <v>1627.6079754730699</v>
      </c>
      <c r="L31" s="14">
        <v>1636.3879370874099</v>
      </c>
      <c r="M31" s="14">
        <v>1637.4916719687701</v>
      </c>
      <c r="N31" s="14">
        <v>1670.3304251908401</v>
      </c>
      <c r="O31" s="14">
        <v>1747.5137995328</v>
      </c>
      <c r="P31" s="14">
        <v>1849.4530782705599</v>
      </c>
      <c r="Q31" s="14">
        <v>1900.26117626011</v>
      </c>
      <c r="R31" s="14">
        <v>1950.41354848332</v>
      </c>
      <c r="S31" s="14">
        <v>1908.14003265733</v>
      </c>
      <c r="T31" s="14">
        <v>1940.77284478149</v>
      </c>
      <c r="U31" s="14">
        <v>1986.9093296204901</v>
      </c>
      <c r="V31" s="14">
        <v>2031.53988796914</v>
      </c>
      <c r="W31" s="14">
        <v>2074.4323609932399</v>
      </c>
      <c r="X31" s="14">
        <v>2060.03052207467</v>
      </c>
      <c r="Y31" s="14">
        <v>2075.8537187867501</v>
      </c>
      <c r="Z31" s="14">
        <v>2121.7183344283399</v>
      </c>
      <c r="AA31" s="14">
        <v>2152.1839472257002</v>
      </c>
    </row>
    <row r="32" spans="1:27" x14ac:dyDescent="0.25">
      <c r="A32" s="1"/>
      <c r="B32" s="51"/>
      <c r="C32" s="48" t="s">
        <v>27</v>
      </c>
      <c r="D32" s="14">
        <v>1000.85325448282</v>
      </c>
      <c r="E32" s="14">
        <v>1266.49404169331</v>
      </c>
      <c r="F32" s="14">
        <v>1375.95680710938</v>
      </c>
      <c r="G32" s="14">
        <v>1448.3960835923299</v>
      </c>
      <c r="H32" s="14">
        <v>1479.6555124998099</v>
      </c>
      <c r="I32" s="14">
        <v>1544.60042808107</v>
      </c>
      <c r="J32" s="14">
        <v>1574.06217088163</v>
      </c>
      <c r="K32" s="14">
        <v>1593.87645972002</v>
      </c>
      <c r="L32" s="14">
        <v>1600.3436326225899</v>
      </c>
      <c r="M32" s="14">
        <v>1601.4993652789799</v>
      </c>
      <c r="N32" s="14">
        <v>1632.44833462579</v>
      </c>
      <c r="O32" s="14">
        <v>1706.01651664151</v>
      </c>
      <c r="P32" s="14">
        <v>1812.09271800497</v>
      </c>
      <c r="Q32" s="14">
        <v>1856.2606666444301</v>
      </c>
      <c r="R32" s="14">
        <v>1904.27042798053</v>
      </c>
      <c r="S32" s="14">
        <v>1862.1272495753799</v>
      </c>
      <c r="T32" s="14">
        <v>1894.0411286434</v>
      </c>
      <c r="U32" s="14">
        <v>1938.1609244922699</v>
      </c>
      <c r="V32" s="14">
        <v>1981.02185669761</v>
      </c>
      <c r="W32" s="14">
        <v>2021.8608224204499</v>
      </c>
      <c r="X32" s="14">
        <v>2005.05739357987</v>
      </c>
      <c r="Y32" s="14">
        <v>2019.7241149476899</v>
      </c>
      <c r="Z32" s="14">
        <v>2063.2088697921499</v>
      </c>
      <c r="AA32" s="14">
        <v>2092.56269339242</v>
      </c>
    </row>
    <row r="33" spans="1:27" ht="15.75" thickBot="1" x14ac:dyDescent="0.3">
      <c r="A33" s="1"/>
      <c r="B33" s="51"/>
      <c r="C33" s="19" t="s">
        <v>28</v>
      </c>
      <c r="D33" s="16">
        <v>1005.16014348192</v>
      </c>
      <c r="E33" s="16">
        <v>1267.2863062957599</v>
      </c>
      <c r="F33" s="16">
        <v>1353.34204505805</v>
      </c>
      <c r="G33" s="16">
        <v>1404.33555795095</v>
      </c>
      <c r="H33" s="16">
        <v>1417.84791892578</v>
      </c>
      <c r="I33" s="16">
        <v>1462.9500617352301</v>
      </c>
      <c r="J33" s="16">
        <v>1481.6398473209599</v>
      </c>
      <c r="K33" s="16">
        <v>1491.89790803592</v>
      </c>
      <c r="L33" s="16">
        <v>1497.04124136988</v>
      </c>
      <c r="M33" s="16">
        <v>1500.74902120813</v>
      </c>
      <c r="N33" s="16">
        <v>1528.0448668715101</v>
      </c>
      <c r="O33" s="16">
        <v>1591.1133451785199</v>
      </c>
      <c r="P33" s="16">
        <v>1700.4748690392501</v>
      </c>
      <c r="Q33" s="16">
        <v>1717.8215706677599</v>
      </c>
      <c r="R33" s="16">
        <v>1752.6533679808599</v>
      </c>
      <c r="S33" s="16">
        <v>1713.60156028301</v>
      </c>
      <c r="T33" s="16">
        <v>1744.0802483888201</v>
      </c>
      <c r="U33" s="16">
        <v>1786.4990737374801</v>
      </c>
      <c r="V33" s="16">
        <v>1826.4690641070599</v>
      </c>
      <c r="W33" s="16">
        <v>1863.17250479058</v>
      </c>
      <c r="X33" s="16">
        <v>1842.1053658574699</v>
      </c>
      <c r="Y33" s="16">
        <v>1852.2164736290499</v>
      </c>
      <c r="Z33" s="16">
        <v>1889.3188900834</v>
      </c>
      <c r="AA33" s="16">
        <v>1912.72810178187</v>
      </c>
    </row>
    <row r="34" spans="1:27" ht="16.5" thickTop="1" thickBot="1" x14ac:dyDescent="0.3">
      <c r="A34" s="1"/>
      <c r="B34" s="1"/>
      <c r="C34" s="3" t="s">
        <v>15</v>
      </c>
      <c r="D34" s="15">
        <v>2203.3027499999998</v>
      </c>
      <c r="E34" s="15">
        <v>2199.0740880503099</v>
      </c>
      <c r="F34" s="15">
        <v>2189.94208860759</v>
      </c>
      <c r="G34" s="15">
        <v>2180.64942675159</v>
      </c>
      <c r="H34" s="15">
        <v>2151.3478846153798</v>
      </c>
      <c r="I34" s="15">
        <v>2152.15199999999</v>
      </c>
      <c r="J34" s="15">
        <v>2162.2507142857098</v>
      </c>
      <c r="K34" s="15">
        <v>2171.9915032679701</v>
      </c>
      <c r="L34" s="15">
        <v>2184.0805921052602</v>
      </c>
      <c r="M34" s="15">
        <v>2197.49039735099</v>
      </c>
      <c r="N34" s="15">
        <v>2210.3081999999999</v>
      </c>
      <c r="O34" s="15">
        <v>2216.6470469798601</v>
      </c>
      <c r="P34" s="15">
        <v>2214.4505405405398</v>
      </c>
      <c r="Q34" s="15">
        <v>2183.1097278911502</v>
      </c>
      <c r="R34" s="15">
        <v>2131.30438356164</v>
      </c>
      <c r="S34" s="15">
        <v>2136.15993103448</v>
      </c>
      <c r="T34" s="15">
        <v>2136.3581249999902</v>
      </c>
      <c r="U34" s="15">
        <v>2150.33251748251</v>
      </c>
      <c r="V34" s="15">
        <v>2161.7545774647801</v>
      </c>
      <c r="W34" s="15">
        <v>2175.2368794326198</v>
      </c>
      <c r="X34" s="15">
        <v>2189.6374999999898</v>
      </c>
      <c r="Y34" s="15">
        <v>2204.9657553956799</v>
      </c>
      <c r="Z34" s="15">
        <v>2215.1614492753602</v>
      </c>
      <c r="AA34" s="15">
        <v>2225.5975182481702</v>
      </c>
    </row>
    <row r="35" spans="1:27" ht="16.5" thickTop="1" thickBot="1" x14ac:dyDescent="0.3">
      <c r="A35" s="7"/>
      <c r="B35" s="7"/>
      <c r="C35" s="19" t="s">
        <v>11</v>
      </c>
      <c r="D35" s="16">
        <v>1055.76881796463</v>
      </c>
      <c r="E35" s="16">
        <v>1262.3443367366101</v>
      </c>
      <c r="F35" s="16">
        <v>1362.5765606831101</v>
      </c>
      <c r="G35" s="16">
        <v>1303.2828260889501</v>
      </c>
      <c r="H35" s="16">
        <v>1332.3254476141501</v>
      </c>
      <c r="I35" s="16">
        <v>1331.21612223792</v>
      </c>
      <c r="J35" s="16">
        <v>1323.18532319974</v>
      </c>
      <c r="K35" s="16">
        <v>1359.92282783459</v>
      </c>
      <c r="L35" s="16">
        <v>1353.4300578769901</v>
      </c>
      <c r="M35" s="16">
        <v>1420.73464966607</v>
      </c>
      <c r="N35" s="16">
        <v>1418.8097360882</v>
      </c>
      <c r="O35" s="16">
        <v>1400.3551589505</v>
      </c>
      <c r="P35" s="16">
        <v>1377.61710891295</v>
      </c>
      <c r="Q35" s="16">
        <v>1375.9229994438101</v>
      </c>
      <c r="R35" s="16">
        <v>1459.25723365566</v>
      </c>
      <c r="S35" s="16">
        <v>1434.0142009261201</v>
      </c>
      <c r="T35" s="16">
        <v>1428.86415333232</v>
      </c>
      <c r="U35" s="16">
        <v>1475.76745141996</v>
      </c>
      <c r="V35" s="16">
        <v>1483.0721419318299</v>
      </c>
      <c r="W35" s="16">
        <v>1463.84890043629</v>
      </c>
      <c r="X35" s="16">
        <v>1444.6739556407199</v>
      </c>
      <c r="Y35" s="16">
        <v>1479.76611608807</v>
      </c>
      <c r="Z35" s="16">
        <v>1480.6515095847301</v>
      </c>
      <c r="AA35" s="16">
        <v>1568.0180686368401</v>
      </c>
    </row>
    <row r="36" spans="1:27" ht="16.5" thickTop="1" thickBot="1" x14ac:dyDescent="0.3">
      <c r="A36" s="7"/>
      <c r="B36" s="7"/>
      <c r="C36" s="19" t="s">
        <v>18</v>
      </c>
      <c r="D36" s="16">
        <v>1090.0329539739901</v>
      </c>
      <c r="E36" s="16">
        <v>1386.21281924645</v>
      </c>
      <c r="F36" s="16">
        <v>1457.8383330802601</v>
      </c>
      <c r="G36" s="16">
        <v>1411.80624227306</v>
      </c>
      <c r="H36" s="16">
        <v>1359.47442631125</v>
      </c>
      <c r="I36" s="16">
        <v>1337.9647602309101</v>
      </c>
      <c r="J36" s="16">
        <v>1348.4638351411099</v>
      </c>
      <c r="K36" s="16">
        <v>1345.28205200617</v>
      </c>
      <c r="L36" s="16">
        <v>1400.47256606568</v>
      </c>
      <c r="M36" s="16">
        <v>1465.68765595794</v>
      </c>
      <c r="N36" s="16">
        <v>1610.2187954066101</v>
      </c>
      <c r="O36" s="16">
        <v>1691.4126507288199</v>
      </c>
      <c r="P36" s="16">
        <v>1761.6351023853199</v>
      </c>
      <c r="Q36" s="16">
        <v>1672.66410577634</v>
      </c>
      <c r="R36" s="16">
        <v>1603.2797776554701</v>
      </c>
      <c r="S36" s="16">
        <v>1546.9691348752101</v>
      </c>
      <c r="T36" s="16">
        <v>1553.3807181549601</v>
      </c>
      <c r="U36" s="16">
        <v>1591.1128992609799</v>
      </c>
      <c r="V36" s="16">
        <v>1659.7654226727</v>
      </c>
      <c r="W36" s="16">
        <v>1730.97399659805</v>
      </c>
      <c r="X36" s="16">
        <v>1816.39862931319</v>
      </c>
      <c r="Y36" s="16">
        <v>1842.7145088366301</v>
      </c>
      <c r="Z36" s="16">
        <v>1941.5950151238501</v>
      </c>
      <c r="AA36" s="16">
        <v>2017.99033170133</v>
      </c>
    </row>
    <row r="37" spans="1:27" ht="16.5" thickTop="1" thickBot="1" x14ac:dyDescent="0.3">
      <c r="A37" s="7"/>
      <c r="B37" s="7"/>
      <c r="C37" s="3" t="s">
        <v>29</v>
      </c>
      <c r="D37" s="21">
        <v>1457.3273428757</v>
      </c>
      <c r="E37" s="21">
        <v>1645.96786537661</v>
      </c>
      <c r="F37" s="21">
        <v>1698.03980387263</v>
      </c>
      <c r="G37" s="21">
        <v>1600.2573458409399</v>
      </c>
      <c r="H37" s="21">
        <v>1506.9677669789801</v>
      </c>
      <c r="I37" s="21">
        <v>1474.4316604819901</v>
      </c>
      <c r="J37" s="21">
        <v>1491.05609905342</v>
      </c>
      <c r="K37" s="21">
        <v>1494.96886268446</v>
      </c>
      <c r="L37" s="21">
        <v>1485.58495410673</v>
      </c>
      <c r="M37" s="21">
        <v>1482.45033731587</v>
      </c>
      <c r="N37" s="21">
        <v>1515.7854585334901</v>
      </c>
      <c r="O37" s="21">
        <v>1617.2696354250299</v>
      </c>
      <c r="P37" s="21">
        <v>1705.9625217776399</v>
      </c>
      <c r="Q37" s="21">
        <v>1652.43183103059</v>
      </c>
      <c r="R37" s="21">
        <v>1569.45912282326</v>
      </c>
      <c r="S37" s="21">
        <v>1461.9958474255</v>
      </c>
      <c r="T37" s="21">
        <v>1455.5526867242399</v>
      </c>
      <c r="U37" s="21">
        <v>1469.9760443676</v>
      </c>
      <c r="V37" s="21">
        <v>1517.0294764811899</v>
      </c>
      <c r="W37" s="21">
        <v>1528.3637903067099</v>
      </c>
      <c r="X37" s="21">
        <v>1530.04115193186</v>
      </c>
      <c r="Y37" s="21">
        <v>1508.8252606328399</v>
      </c>
      <c r="Z37" s="21">
        <v>1632.8202483699099</v>
      </c>
      <c r="AA37" s="21">
        <v>1705.2639716768499</v>
      </c>
    </row>
    <row r="38" spans="1:27" ht="15.75" thickTop="1" x14ac:dyDescent="0.25">
      <c r="C38" s="42" t="s">
        <v>25</v>
      </c>
      <c r="D38" s="53">
        <v>1930.588375</v>
      </c>
      <c r="E38" s="53">
        <v>1941.48811320754</v>
      </c>
      <c r="F38" s="53">
        <v>1940.37886075949</v>
      </c>
      <c r="G38" s="53">
        <v>1946.96968152866</v>
      </c>
      <c r="H38" s="53">
        <v>1945.5602564102501</v>
      </c>
      <c r="I38" s="53">
        <v>1958.07432258064</v>
      </c>
      <c r="J38" s="53">
        <v>1969.6564935064901</v>
      </c>
      <c r="K38" s="53">
        <v>1981.7719607843101</v>
      </c>
      <c r="L38" s="53">
        <v>1991.5809210526299</v>
      </c>
      <c r="M38" s="53">
        <v>2004.47675496688</v>
      </c>
      <c r="N38" s="53">
        <v>2016.0077999999901</v>
      </c>
      <c r="O38" s="53">
        <v>2021.0426174496599</v>
      </c>
      <c r="P38" s="53">
        <v>2246.5477702702701</v>
      </c>
      <c r="Q38" s="53">
        <v>2233.6438775510201</v>
      </c>
      <c r="R38" s="53">
        <v>2221.6276712328699</v>
      </c>
      <c r="S38" s="53">
        <v>2208.1870344827498</v>
      </c>
      <c r="T38" s="53">
        <v>2177.0461805555501</v>
      </c>
      <c r="U38" s="53">
        <v>2177.09118881118</v>
      </c>
      <c r="V38" s="53">
        <v>2190.7117605633798</v>
      </c>
      <c r="W38" s="53">
        <v>2204.1553191489302</v>
      </c>
      <c r="X38" s="53">
        <v>2215.1413571428502</v>
      </c>
      <c r="Y38" s="53">
        <v>2229.1889928057499</v>
      </c>
      <c r="Z38" s="53">
        <v>2239.5602173912998</v>
      </c>
      <c r="AA38" s="53">
        <v>2250.17437956204</v>
      </c>
    </row>
    <row r="39" spans="1:27" x14ac:dyDescent="0.25">
      <c r="C39" s="5"/>
    </row>
    <row r="40" spans="1:27" ht="18.75" x14ac:dyDescent="0.25">
      <c r="C40" s="13" t="s">
        <v>21</v>
      </c>
    </row>
    <row r="41" spans="1:27" x14ac:dyDescent="0.25">
      <c r="C41" s="5"/>
    </row>
    <row r="42" spans="1:27" x14ac:dyDescent="0.25">
      <c r="C42" s="1"/>
      <c r="D42" s="51" t="s">
        <v>13</v>
      </c>
      <c r="E42" s="51"/>
      <c r="F42" s="51"/>
      <c r="G42" s="51"/>
      <c r="H42" s="52"/>
      <c r="I42" s="6"/>
      <c r="N42" s="51" t="s">
        <v>14</v>
      </c>
      <c r="O42" s="51"/>
      <c r="P42" s="51"/>
      <c r="Q42" s="51"/>
      <c r="R42" s="52"/>
    </row>
    <row r="43" spans="1:27" ht="30" customHeight="1" thickBot="1" x14ac:dyDescent="0.3">
      <c r="C43" s="2"/>
      <c r="D43" s="19" t="s">
        <v>0</v>
      </c>
      <c r="E43" s="19" t="s">
        <v>1</v>
      </c>
      <c r="F43" s="19" t="s">
        <v>2</v>
      </c>
      <c r="G43" s="19" t="s">
        <v>3</v>
      </c>
      <c r="H43" s="50" t="s">
        <v>24</v>
      </c>
      <c r="I43" s="50"/>
      <c r="N43" s="19" t="s">
        <v>0</v>
      </c>
      <c r="O43" s="19" t="s">
        <v>1</v>
      </c>
      <c r="P43" s="19" t="s">
        <v>2</v>
      </c>
      <c r="Q43" s="19" t="s">
        <v>3</v>
      </c>
      <c r="R43" s="50" t="s">
        <v>24</v>
      </c>
      <c r="S43" s="50"/>
    </row>
    <row r="44" spans="1:27" ht="16.5" thickTop="1" thickBot="1" x14ac:dyDescent="0.3">
      <c r="C44" s="3" t="s">
        <v>12</v>
      </c>
      <c r="D44" s="8">
        <f t="shared" ref="D44:D59" si="0">D5</f>
        <v>3834.6183610390599</v>
      </c>
      <c r="E44" s="8">
        <f t="shared" ref="E44:E59" si="1">I5</f>
        <v>4814.2077769499901</v>
      </c>
      <c r="F44" s="8">
        <f t="shared" ref="F44:F59" si="2">O5</f>
        <v>5256.59463217952</v>
      </c>
      <c r="G44" s="8">
        <f t="shared" ref="G44:G59" si="3">AA5</f>
        <v>5597.1074838029099</v>
      </c>
      <c r="H44" s="8">
        <v>70210.907588256203</v>
      </c>
      <c r="I44" s="26" t="s">
        <v>19</v>
      </c>
      <c r="M44" s="3" t="s">
        <v>12</v>
      </c>
      <c r="N44" s="12">
        <f t="shared" ref="N44:N58" si="4">D23</f>
        <v>963.54382251406196</v>
      </c>
      <c r="O44" s="12">
        <f t="shared" ref="O44:O58" si="5">I23</f>
        <v>1497.28901961774</v>
      </c>
      <c r="P44" s="12">
        <f t="shared" ref="P44:P58" si="6">O23</f>
        <v>1806.35812448657</v>
      </c>
      <c r="Q44" s="12">
        <f t="shared" ref="Q44:Q58" si="7">AA23</f>
        <v>2266.7427383065601</v>
      </c>
      <c r="R44" s="10">
        <v>33981.513915379597</v>
      </c>
      <c r="S44" s="26" t="s">
        <v>19</v>
      </c>
    </row>
    <row r="45" spans="1:27" ht="15.75" thickTop="1" x14ac:dyDescent="0.25">
      <c r="C45" s="28" t="s">
        <v>4</v>
      </c>
      <c r="D45" s="11">
        <f t="shared" si="0"/>
        <v>6857.7724976373702</v>
      </c>
      <c r="E45" s="11">
        <f t="shared" si="1"/>
        <v>5863.9772159906297</v>
      </c>
      <c r="F45" s="11">
        <f t="shared" si="2"/>
        <v>5701.52718855286</v>
      </c>
      <c r="G45" s="11">
        <f t="shared" si="3"/>
        <v>5317.4320150595904</v>
      </c>
      <c r="H45" s="9">
        <v>83244.657102153302</v>
      </c>
      <c r="I45" s="23">
        <f t="shared" ref="I45:I59" si="8">H45/$H$44</f>
        <v>1.1856371034303106</v>
      </c>
      <c r="M45" s="28" t="s">
        <v>4</v>
      </c>
      <c r="N45" s="31">
        <f t="shared" si="4"/>
        <v>1473.3763759204201</v>
      </c>
      <c r="O45" s="31">
        <f t="shared" si="5"/>
        <v>1769.08827706902</v>
      </c>
      <c r="P45" s="31">
        <f t="shared" si="6"/>
        <v>1559.9441795364501</v>
      </c>
      <c r="Q45" s="31">
        <f t="shared" si="7"/>
        <v>1569.4526482858901</v>
      </c>
      <c r="R45" s="32">
        <v>28178.106958950601</v>
      </c>
      <c r="S45" s="23">
        <f t="shared" ref="S45:S59" si="9">R45/$R$44</f>
        <v>0.82921870488523319</v>
      </c>
    </row>
    <row r="46" spans="1:27" x14ac:dyDescent="0.25">
      <c r="C46" s="28" t="s">
        <v>5</v>
      </c>
      <c r="D46" s="11">
        <f t="shared" si="0"/>
        <v>4790.6931082399296</v>
      </c>
      <c r="E46" s="11">
        <f t="shared" si="1"/>
        <v>5807.3967419617602</v>
      </c>
      <c r="F46" s="11">
        <f t="shared" si="2"/>
        <v>5790.9006721103997</v>
      </c>
      <c r="G46" s="11">
        <f t="shared" si="3"/>
        <v>6023.4844349304103</v>
      </c>
      <c r="H46" s="9">
        <v>105300.122701389</v>
      </c>
      <c r="I46" s="27">
        <f t="shared" si="8"/>
        <v>1.499768715694568</v>
      </c>
      <c r="M46" s="28" t="s">
        <v>5</v>
      </c>
      <c r="N46" s="31">
        <f t="shared" si="4"/>
        <v>1190.8610649552099</v>
      </c>
      <c r="O46" s="31">
        <f t="shared" si="5"/>
        <v>1531.59683266004</v>
      </c>
      <c r="P46" s="31">
        <f t="shared" si="6"/>
        <v>1530.7205055034999</v>
      </c>
      <c r="Q46" s="31">
        <f t="shared" si="7"/>
        <v>1792.7634597470101</v>
      </c>
      <c r="R46" s="32">
        <v>27444.849025474399</v>
      </c>
      <c r="S46" s="24">
        <f t="shared" si="9"/>
        <v>0.80764056286065622</v>
      </c>
    </row>
    <row r="47" spans="1:27" x14ac:dyDescent="0.25">
      <c r="C47" s="28" t="s">
        <v>6</v>
      </c>
      <c r="D47" s="11">
        <f t="shared" si="0"/>
        <v>4742.8111248690402</v>
      </c>
      <c r="E47" s="11">
        <f t="shared" si="1"/>
        <v>6021.0058832987497</v>
      </c>
      <c r="F47" s="11">
        <f t="shared" si="2"/>
        <v>6248.7957470033098</v>
      </c>
      <c r="G47" s="11">
        <f t="shared" si="3"/>
        <v>6674.9406516102799</v>
      </c>
      <c r="H47" s="9">
        <v>109461.322406002</v>
      </c>
      <c r="I47" s="27">
        <f t="shared" si="8"/>
        <v>1.5590358559089614</v>
      </c>
      <c r="M47" s="28" t="s">
        <v>6</v>
      </c>
      <c r="N47" s="31">
        <f t="shared" si="4"/>
        <v>1097.3333780872199</v>
      </c>
      <c r="O47" s="31">
        <f t="shared" si="5"/>
        <v>1448.8156851454801</v>
      </c>
      <c r="P47" s="31">
        <f t="shared" si="6"/>
        <v>1534.47746171474</v>
      </c>
      <c r="Q47" s="31">
        <f t="shared" si="7"/>
        <v>1852.3465664318901</v>
      </c>
      <c r="R47" s="32">
        <v>26443.130454071401</v>
      </c>
      <c r="S47" s="24">
        <f t="shared" si="9"/>
        <v>0.77816222431760407</v>
      </c>
    </row>
    <row r="48" spans="1:27" x14ac:dyDescent="0.25">
      <c r="C48" s="28" t="s">
        <v>7</v>
      </c>
      <c r="D48" s="11">
        <f t="shared" si="0"/>
        <v>4257.8107640309699</v>
      </c>
      <c r="E48" s="11">
        <f t="shared" si="1"/>
        <v>5554.6224079511703</v>
      </c>
      <c r="F48" s="11">
        <f t="shared" si="2"/>
        <v>5497.0315675913998</v>
      </c>
      <c r="G48" s="11">
        <f t="shared" si="3"/>
        <v>5965.1573277160996</v>
      </c>
      <c r="H48" s="9">
        <v>81517.737587583906</v>
      </c>
      <c r="I48" s="27">
        <f t="shared" si="8"/>
        <v>1.1610409320676398</v>
      </c>
      <c r="M48" s="28" t="s">
        <v>7</v>
      </c>
      <c r="N48" s="31">
        <f t="shared" si="4"/>
        <v>1069.28118697983</v>
      </c>
      <c r="O48" s="31">
        <f t="shared" si="5"/>
        <v>1452.89633469142</v>
      </c>
      <c r="P48" s="31">
        <f t="shared" si="6"/>
        <v>1546.23102012449</v>
      </c>
      <c r="Q48" s="31">
        <f t="shared" si="7"/>
        <v>1848.1220025776099</v>
      </c>
      <c r="R48" s="32">
        <v>26150.497199598602</v>
      </c>
      <c r="S48" s="24">
        <f t="shared" si="9"/>
        <v>0.76955068172413654</v>
      </c>
    </row>
    <row r="49" spans="3:20" x14ac:dyDescent="0.25">
      <c r="C49" s="28" t="s">
        <v>8</v>
      </c>
      <c r="D49" s="11">
        <f t="shared" si="0"/>
        <v>4249.35999840981</v>
      </c>
      <c r="E49" s="11">
        <f t="shared" si="1"/>
        <v>5417.9807397507102</v>
      </c>
      <c r="F49" s="11">
        <f t="shared" si="2"/>
        <v>5376.4583802689504</v>
      </c>
      <c r="G49" s="11">
        <f t="shared" si="3"/>
        <v>5686.7815939531001</v>
      </c>
      <c r="H49" s="9">
        <v>77321.672883691193</v>
      </c>
      <c r="I49" s="27">
        <f t="shared" si="8"/>
        <v>1.1012772165990967</v>
      </c>
      <c r="M49" s="28" t="s">
        <v>8</v>
      </c>
      <c r="N49" s="31">
        <f t="shared" si="4"/>
        <v>1002.21355218743</v>
      </c>
      <c r="O49" s="31">
        <f t="shared" si="5"/>
        <v>1463.2975318553099</v>
      </c>
      <c r="P49" s="31">
        <f t="shared" si="6"/>
        <v>1574.4399576082999</v>
      </c>
      <c r="Q49" s="31">
        <f t="shared" si="7"/>
        <v>1876.93292094144</v>
      </c>
      <c r="R49" s="32">
        <v>27556.410514633699</v>
      </c>
      <c r="S49" s="24">
        <f t="shared" si="9"/>
        <v>0.81092356812749355</v>
      </c>
    </row>
    <row r="50" spans="3:20" x14ac:dyDescent="0.25">
      <c r="C50" s="28" t="s">
        <v>9</v>
      </c>
      <c r="D50" s="11">
        <f t="shared" si="0"/>
        <v>4148.6527519741303</v>
      </c>
      <c r="E50" s="11">
        <f t="shared" si="1"/>
        <v>5184.3086756067696</v>
      </c>
      <c r="F50" s="11">
        <f t="shared" si="2"/>
        <v>5121.9767575155402</v>
      </c>
      <c r="G50" s="11">
        <f t="shared" si="3"/>
        <v>5386.1932412615697</v>
      </c>
      <c r="H50" s="9">
        <v>67617.049569505602</v>
      </c>
      <c r="I50" s="27">
        <f t="shared" si="8"/>
        <v>0.96305619585546476</v>
      </c>
      <c r="M50" s="28" t="s">
        <v>9</v>
      </c>
      <c r="N50" s="31">
        <f t="shared" si="4"/>
        <v>1038.5800698221101</v>
      </c>
      <c r="O50" s="31">
        <f t="shared" si="5"/>
        <v>1545.9266694898799</v>
      </c>
      <c r="P50" s="31">
        <f t="shared" si="6"/>
        <v>1709.70262052711</v>
      </c>
      <c r="Q50" s="31">
        <f t="shared" si="7"/>
        <v>2094.2893404617298</v>
      </c>
      <c r="R50" s="32">
        <v>32163.817277732</v>
      </c>
      <c r="S50" s="24">
        <f t="shared" si="9"/>
        <v>0.94650925081872439</v>
      </c>
    </row>
    <row r="51" spans="3:20" ht="15.75" thickBot="1" x14ac:dyDescent="0.3">
      <c r="C51" s="19" t="s">
        <v>10</v>
      </c>
      <c r="D51" s="10">
        <f t="shared" si="0"/>
        <v>4140.6255518159196</v>
      </c>
      <c r="E51" s="10">
        <f t="shared" si="1"/>
        <v>5195.7117954449895</v>
      </c>
      <c r="F51" s="10">
        <f t="shared" si="2"/>
        <v>5095.81509178533</v>
      </c>
      <c r="G51" s="10">
        <f t="shared" si="3"/>
        <v>5390.71400420185</v>
      </c>
      <c r="H51" s="10">
        <v>67163.043490848097</v>
      </c>
      <c r="I51" s="25">
        <f t="shared" si="8"/>
        <v>0.95658987752612523</v>
      </c>
      <c r="M51" s="19" t="s">
        <v>10</v>
      </c>
      <c r="N51" s="33">
        <f t="shared" si="4"/>
        <v>1024.59995389494</v>
      </c>
      <c r="O51" s="33">
        <f t="shared" si="5"/>
        <v>1554.0644855324899</v>
      </c>
      <c r="P51" s="33">
        <f t="shared" si="6"/>
        <v>1730.25632509512</v>
      </c>
      <c r="Q51" s="33">
        <f t="shared" si="7"/>
        <v>2129.1674242823701</v>
      </c>
      <c r="R51" s="30">
        <v>32423.254793290998</v>
      </c>
      <c r="S51" s="25">
        <f t="shared" si="9"/>
        <v>0.95414391701414603</v>
      </c>
    </row>
    <row r="52" spans="3:20" ht="15.75" thickTop="1" x14ac:dyDescent="0.25">
      <c r="C52" s="48" t="s">
        <v>26</v>
      </c>
      <c r="D52" s="11">
        <f t="shared" si="0"/>
        <v>4167.8717283755404</v>
      </c>
      <c r="E52" s="11">
        <f t="shared" si="1"/>
        <v>5246.2532286114902</v>
      </c>
      <c r="F52" s="11">
        <f t="shared" si="2"/>
        <v>5139.92667774456</v>
      </c>
      <c r="G52" s="11">
        <f t="shared" si="3"/>
        <v>5416.0500988925796</v>
      </c>
      <c r="H52" s="9">
        <v>69178.550839845993</v>
      </c>
      <c r="I52" s="27">
        <f t="shared" si="8"/>
        <v>0.98529634804802202</v>
      </c>
      <c r="M52" s="48" t="s">
        <v>26</v>
      </c>
      <c r="N52" s="31">
        <f t="shared" si="4"/>
        <v>1010.22501447786</v>
      </c>
      <c r="O52" s="31">
        <f t="shared" si="5"/>
        <v>1572.75176026138</v>
      </c>
      <c r="P52" s="31">
        <f t="shared" si="6"/>
        <v>1747.5137995328</v>
      </c>
      <c r="Q52" s="31">
        <f t="shared" si="7"/>
        <v>2152.1839472257002</v>
      </c>
      <c r="R52" s="32">
        <v>33137.789627722297</v>
      </c>
      <c r="S52" s="24">
        <f t="shared" si="9"/>
        <v>0.97517108008317899</v>
      </c>
    </row>
    <row r="53" spans="3:20" x14ac:dyDescent="0.25">
      <c r="C53" s="48" t="s">
        <v>27</v>
      </c>
      <c r="D53" s="11">
        <f t="shared" si="0"/>
        <v>4179.2515333936099</v>
      </c>
      <c r="E53" s="11">
        <f t="shared" si="1"/>
        <v>5229.6500750798295</v>
      </c>
      <c r="F53" s="11">
        <f t="shared" si="2"/>
        <v>5132.8923670416498</v>
      </c>
      <c r="G53" s="11">
        <f t="shared" si="3"/>
        <v>5410.7169928425001</v>
      </c>
      <c r="H53" s="9">
        <v>68968.546103165194</v>
      </c>
      <c r="I53" s="27">
        <f t="shared" si="8"/>
        <v>0.98230529232898267</v>
      </c>
      <c r="M53" s="48" t="s">
        <v>27</v>
      </c>
      <c r="N53" s="31">
        <f t="shared" si="4"/>
        <v>1000.85325448282</v>
      </c>
      <c r="O53" s="31">
        <f t="shared" si="5"/>
        <v>1544.60042808107</v>
      </c>
      <c r="P53" s="31">
        <f t="shared" si="6"/>
        <v>1706.01651664151</v>
      </c>
      <c r="Q53" s="31">
        <f t="shared" si="7"/>
        <v>2092.56269339242</v>
      </c>
      <c r="R53" s="32">
        <v>31902.9338724808</v>
      </c>
      <c r="S53" s="24">
        <f t="shared" si="9"/>
        <v>0.93883203532147352</v>
      </c>
    </row>
    <row r="54" spans="3:20" ht="15.75" thickBot="1" x14ac:dyDescent="0.3">
      <c r="C54" s="19" t="s">
        <v>28</v>
      </c>
      <c r="D54" s="10">
        <f t="shared" si="0"/>
        <v>4124.9300058992303</v>
      </c>
      <c r="E54" s="10">
        <f t="shared" si="1"/>
        <v>5131.18335535607</v>
      </c>
      <c r="F54" s="10">
        <f t="shared" si="2"/>
        <v>5081.9655959942602</v>
      </c>
      <c r="G54" s="10">
        <f t="shared" si="3"/>
        <v>5364.8871565519003</v>
      </c>
      <c r="H54" s="10">
        <v>66283.709470958696</v>
      </c>
      <c r="I54" s="27">
        <f t="shared" si="8"/>
        <v>0.94406569787805472</v>
      </c>
      <c r="M54" s="19" t="s">
        <v>28</v>
      </c>
      <c r="N54" s="33">
        <f t="shared" si="4"/>
        <v>1005.16014348192</v>
      </c>
      <c r="O54" s="33">
        <f t="shared" si="5"/>
        <v>1462.9500617352301</v>
      </c>
      <c r="P54" s="33">
        <f t="shared" si="6"/>
        <v>1591.1133451785199</v>
      </c>
      <c r="Q54" s="33">
        <f t="shared" si="7"/>
        <v>1912.72810178187</v>
      </c>
      <c r="R54" s="30">
        <v>27980.460400458102</v>
      </c>
      <c r="S54" s="25">
        <f t="shared" si="9"/>
        <v>0.82340240844285939</v>
      </c>
    </row>
    <row r="55" spans="3:20" ht="16.5" thickTop="1" thickBot="1" x14ac:dyDescent="0.3">
      <c r="C55" s="3" t="s">
        <v>15</v>
      </c>
      <c r="D55" s="8">
        <f t="shared" si="0"/>
        <v>8768.0360624999994</v>
      </c>
      <c r="E55" s="8">
        <f t="shared" si="1"/>
        <v>8642.8027741935493</v>
      </c>
      <c r="F55" s="8">
        <f t="shared" si="2"/>
        <v>8812.8551006711405</v>
      </c>
      <c r="G55" s="8">
        <f t="shared" si="3"/>
        <v>8734.5931386861303</v>
      </c>
      <c r="H55" s="8">
        <v>85204.319749999995</v>
      </c>
      <c r="I55" s="23">
        <f t="shared" si="8"/>
        <v>1.2135481889747237</v>
      </c>
      <c r="M55" s="3" t="s">
        <v>15</v>
      </c>
      <c r="N55" s="21">
        <f t="shared" si="4"/>
        <v>2203.3027499999998</v>
      </c>
      <c r="O55" s="21">
        <f t="shared" si="5"/>
        <v>2152.15199999999</v>
      </c>
      <c r="P55" s="21">
        <f t="shared" si="6"/>
        <v>2216.6470469798601</v>
      </c>
      <c r="Q55" s="21">
        <f t="shared" si="7"/>
        <v>2225.5975182481702</v>
      </c>
      <c r="R55" s="31">
        <v>27011.183062499898</v>
      </c>
      <c r="S55" s="24">
        <f t="shared" si="9"/>
        <v>0.79487874288834981</v>
      </c>
    </row>
    <row r="56" spans="3:20" ht="16.5" thickTop="1" thickBot="1" x14ac:dyDescent="0.3">
      <c r="C56" s="19" t="s">
        <v>11</v>
      </c>
      <c r="D56" s="10">
        <f t="shared" si="0"/>
        <v>4634.7388661991299</v>
      </c>
      <c r="E56" s="10">
        <f t="shared" si="1"/>
        <v>5307.5585155062099</v>
      </c>
      <c r="F56" s="10">
        <f t="shared" si="2"/>
        <v>5230.0783212546603</v>
      </c>
      <c r="G56" s="10">
        <f t="shared" si="3"/>
        <v>5208.32652873814</v>
      </c>
      <c r="H56" s="10">
        <v>53712.402997823301</v>
      </c>
      <c r="I56" s="34">
        <f t="shared" si="8"/>
        <v>0.76501507875120367</v>
      </c>
      <c r="J56" s="29"/>
      <c r="K56" s="1"/>
      <c r="L56" s="1"/>
      <c r="M56" s="19" t="s">
        <v>11</v>
      </c>
      <c r="N56" s="33">
        <f t="shared" si="4"/>
        <v>1055.76881796463</v>
      </c>
      <c r="O56" s="33">
        <f t="shared" si="5"/>
        <v>1331.21612223792</v>
      </c>
      <c r="P56" s="33">
        <f t="shared" si="6"/>
        <v>1400.3551589505</v>
      </c>
      <c r="Q56" s="33">
        <f t="shared" si="7"/>
        <v>1568.0180686368401</v>
      </c>
      <c r="R56" s="33">
        <v>22108.480279944401</v>
      </c>
      <c r="S56" s="25">
        <f t="shared" si="9"/>
        <v>0.65060315838189853</v>
      </c>
      <c r="T56" s="36"/>
    </row>
    <row r="57" spans="3:20" ht="16.5" thickTop="1" thickBot="1" x14ac:dyDescent="0.3">
      <c r="C57" s="19" t="s">
        <v>18</v>
      </c>
      <c r="D57" s="10">
        <f t="shared" si="0"/>
        <v>4413.2941502024796</v>
      </c>
      <c r="E57" s="10">
        <f t="shared" si="1"/>
        <v>5633.6388034682004</v>
      </c>
      <c r="F57" s="10">
        <f t="shared" si="2"/>
        <v>6010.8215174850602</v>
      </c>
      <c r="G57" s="10">
        <f t="shared" si="3"/>
        <v>6492.7458122698599</v>
      </c>
      <c r="H57" s="10">
        <v>93440.138268914496</v>
      </c>
      <c r="I57" s="4">
        <f t="shared" si="8"/>
        <v>1.330849314993668</v>
      </c>
      <c r="J57" s="29"/>
      <c r="K57" s="1"/>
      <c r="L57" s="1"/>
      <c r="M57" s="19" t="s">
        <v>18</v>
      </c>
      <c r="N57" s="33">
        <f t="shared" si="4"/>
        <v>1090.0329539739901</v>
      </c>
      <c r="O57" s="33">
        <f t="shared" si="5"/>
        <v>1337.9647602309101</v>
      </c>
      <c r="P57" s="33">
        <f t="shared" si="6"/>
        <v>1691.4126507288199</v>
      </c>
      <c r="Q57" s="33">
        <f t="shared" si="7"/>
        <v>2017.99033170133</v>
      </c>
      <c r="R57" s="33">
        <v>26903.578311511101</v>
      </c>
      <c r="S57" s="25">
        <f t="shared" si="9"/>
        <v>0.79171217558187967</v>
      </c>
      <c r="T57" s="36"/>
    </row>
    <row r="58" spans="3:20" ht="16.5" thickTop="1" thickBot="1" x14ac:dyDescent="0.3">
      <c r="C58" s="3" t="s">
        <v>29</v>
      </c>
      <c r="D58" s="8">
        <f t="shared" si="0"/>
        <v>6735.0592223621497</v>
      </c>
      <c r="E58" s="8">
        <f t="shared" si="1"/>
        <v>6862.6496035323198</v>
      </c>
      <c r="F58" s="8">
        <f t="shared" si="2"/>
        <v>6778.5363875781704</v>
      </c>
      <c r="G58" s="8">
        <f t="shared" si="3"/>
        <v>6384.3838807375296</v>
      </c>
      <c r="H58" s="8">
        <v>57663.213736309197</v>
      </c>
      <c r="I58" s="41">
        <f t="shared" si="8"/>
        <v>0.82128569074293245</v>
      </c>
      <c r="J58" s="29"/>
      <c r="K58" s="1"/>
      <c r="L58" s="1"/>
      <c r="M58" s="3" t="s">
        <v>29</v>
      </c>
      <c r="N58" s="21">
        <f t="shared" si="4"/>
        <v>1457.3273428757</v>
      </c>
      <c r="O58" s="21">
        <f t="shared" si="5"/>
        <v>1474.4316604819901</v>
      </c>
      <c r="P58" s="21">
        <f t="shared" si="6"/>
        <v>1617.2696354250299</v>
      </c>
      <c r="Q58" s="21">
        <f t="shared" si="7"/>
        <v>1705.2639716768499</v>
      </c>
      <c r="R58" s="21">
        <v>20914.880268751898</v>
      </c>
      <c r="S58" s="41">
        <f t="shared" si="9"/>
        <v>0.61547817795386961</v>
      </c>
      <c r="T58" s="6"/>
    </row>
    <row r="59" spans="3:20" ht="15.75" thickTop="1" x14ac:dyDescent="0.25">
      <c r="C59" s="42" t="s">
        <v>25</v>
      </c>
      <c r="D59" s="35">
        <f t="shared" si="0"/>
        <v>7691.6569374999899</v>
      </c>
      <c r="E59" s="35">
        <f t="shared" si="1"/>
        <v>7436.03941935483</v>
      </c>
      <c r="F59" s="35">
        <f t="shared" si="2"/>
        <v>7637.51812080536</v>
      </c>
      <c r="G59" s="35">
        <f t="shared" si="3"/>
        <v>7607.7796350364897</v>
      </c>
      <c r="H59" s="35">
        <v>83461.560749999902</v>
      </c>
      <c r="I59" s="4">
        <f t="shared" si="8"/>
        <v>1.1887264189696938</v>
      </c>
      <c r="J59" s="1"/>
      <c r="K59" s="1"/>
      <c r="L59" s="1"/>
      <c r="M59" s="42" t="s">
        <v>25</v>
      </c>
      <c r="N59" s="35">
        <f t="shared" ref="N59" si="10">D38</f>
        <v>1930.588375</v>
      </c>
      <c r="O59" s="35">
        <f t="shared" ref="O59" si="11">I38</f>
        <v>1958.07432258064</v>
      </c>
      <c r="P59" s="35">
        <f t="shared" ref="P59" si="12">O38</f>
        <v>2021.0426174496599</v>
      </c>
      <c r="Q59" s="35">
        <f t="shared" ref="Q59" si="13">AA38</f>
        <v>2250.17437956204</v>
      </c>
      <c r="R59" s="35">
        <v>36669.258187500003</v>
      </c>
      <c r="S59" s="4">
        <f t="shared" si="9"/>
        <v>1.0790943063576683</v>
      </c>
      <c r="T59" s="6"/>
    </row>
    <row r="60" spans="3:20" x14ac:dyDescent="0.25">
      <c r="C60" s="5"/>
    </row>
    <row r="61" spans="3:20" x14ac:dyDescent="0.25">
      <c r="C61" s="5"/>
      <c r="D61" s="47">
        <f>D44/1000</f>
        <v>3.8346183610390598</v>
      </c>
      <c r="E61" s="47">
        <f t="shared" ref="E61:H61" si="14">E44/1000</f>
        <v>4.8142077769499902</v>
      </c>
      <c r="F61" s="47">
        <f t="shared" si="14"/>
        <v>5.2565946321795201</v>
      </c>
      <c r="G61" s="47">
        <f t="shared" si="14"/>
        <v>5.59710748380291</v>
      </c>
      <c r="H61" s="47">
        <f t="shared" si="14"/>
        <v>70.210907588256205</v>
      </c>
      <c r="I61" s="26" t="s">
        <v>19</v>
      </c>
      <c r="N61" s="47">
        <f>N44/1000</f>
        <v>0.96354382251406201</v>
      </c>
      <c r="O61" s="47">
        <f t="shared" ref="O61:R61" si="15">O44/1000</f>
        <v>1.49728901961774</v>
      </c>
      <c r="P61" s="47">
        <f t="shared" si="15"/>
        <v>1.8063581244865701</v>
      </c>
      <c r="Q61" s="47">
        <f t="shared" si="15"/>
        <v>2.2667427383065601</v>
      </c>
      <c r="R61" s="47">
        <f t="shared" si="15"/>
        <v>33.981513915379594</v>
      </c>
      <c r="S61" s="26" t="s">
        <v>19</v>
      </c>
    </row>
    <row r="62" spans="3:20" x14ac:dyDescent="0.25">
      <c r="C62" s="1"/>
      <c r="D62" s="47">
        <f t="shared" ref="D62:H76" si="16">D45/1000</f>
        <v>6.8577724976373702</v>
      </c>
      <c r="E62" s="47">
        <f t="shared" si="16"/>
        <v>5.86397721599063</v>
      </c>
      <c r="F62" s="47">
        <f t="shared" si="16"/>
        <v>5.70152718855286</v>
      </c>
      <c r="G62" s="47">
        <f t="shared" si="16"/>
        <v>5.3174320150595902</v>
      </c>
      <c r="H62" s="47">
        <f t="shared" si="16"/>
        <v>83.244657102153298</v>
      </c>
      <c r="I62" s="46">
        <f>I45</f>
        <v>1.1856371034303106</v>
      </c>
      <c r="N62" s="47">
        <f t="shared" ref="N62:R76" si="17">N45/1000</f>
        <v>1.4733763759204201</v>
      </c>
      <c r="O62" s="47">
        <f t="shared" si="17"/>
        <v>1.7690882770690199</v>
      </c>
      <c r="P62" s="47">
        <f t="shared" si="17"/>
        <v>1.5599441795364501</v>
      </c>
      <c r="Q62" s="47">
        <f t="shared" si="17"/>
        <v>1.5694526482858902</v>
      </c>
      <c r="R62" s="47">
        <f t="shared" si="17"/>
        <v>28.1781069589506</v>
      </c>
      <c r="S62" s="46">
        <f>S45</f>
        <v>0.82921870488523319</v>
      </c>
    </row>
    <row r="63" spans="3:20" x14ac:dyDescent="0.25">
      <c r="D63" s="47">
        <f t="shared" si="16"/>
        <v>4.79069310823993</v>
      </c>
      <c r="E63" s="47">
        <f t="shared" si="16"/>
        <v>5.8073967419617603</v>
      </c>
      <c r="F63" s="47">
        <f t="shared" si="16"/>
        <v>5.7909006721103999</v>
      </c>
      <c r="G63" s="47">
        <f t="shared" si="16"/>
        <v>6.0234844349304106</v>
      </c>
      <c r="H63" s="47">
        <f t="shared" si="16"/>
        <v>105.300122701389</v>
      </c>
      <c r="I63" s="46">
        <f t="shared" ref="I63:I76" si="18">I46</f>
        <v>1.499768715694568</v>
      </c>
      <c r="J63" s="40"/>
      <c r="K63" s="40"/>
      <c r="L63" s="40"/>
      <c r="M63" s="40"/>
      <c r="N63" s="47">
        <f t="shared" si="17"/>
        <v>1.19086106495521</v>
      </c>
      <c r="O63" s="47">
        <f t="shared" si="17"/>
        <v>1.53159683266004</v>
      </c>
      <c r="P63" s="47">
        <f t="shared" si="17"/>
        <v>1.5307205055034998</v>
      </c>
      <c r="Q63" s="47">
        <f t="shared" si="17"/>
        <v>1.7927634597470101</v>
      </c>
      <c r="R63" s="47">
        <f t="shared" si="17"/>
        <v>27.444849025474401</v>
      </c>
      <c r="S63" s="46">
        <f t="shared" ref="S63:S76" si="19">S46</f>
        <v>0.80764056286065622</v>
      </c>
    </row>
    <row r="64" spans="3:20" x14ac:dyDescent="0.25">
      <c r="D64" s="47">
        <f t="shared" si="16"/>
        <v>4.7428111248690401</v>
      </c>
      <c r="E64" s="47">
        <f t="shared" si="16"/>
        <v>6.0210058832987494</v>
      </c>
      <c r="F64" s="47">
        <f t="shared" si="16"/>
        <v>6.2487957470033102</v>
      </c>
      <c r="G64" s="47">
        <f t="shared" si="16"/>
        <v>6.6749406516102798</v>
      </c>
      <c r="H64" s="47">
        <f t="shared" si="16"/>
        <v>109.461322406002</v>
      </c>
      <c r="I64" s="46">
        <f t="shared" si="18"/>
        <v>1.5590358559089614</v>
      </c>
      <c r="N64" s="47">
        <f t="shared" si="17"/>
        <v>1.0973333780872199</v>
      </c>
      <c r="O64" s="47">
        <f t="shared" si="17"/>
        <v>1.4488156851454801</v>
      </c>
      <c r="P64" s="47">
        <f t="shared" si="17"/>
        <v>1.5344774617147401</v>
      </c>
      <c r="Q64" s="47">
        <f t="shared" si="17"/>
        <v>1.8523465664318901</v>
      </c>
      <c r="R64" s="47">
        <f t="shared" si="17"/>
        <v>26.443130454071401</v>
      </c>
      <c r="S64" s="46">
        <f t="shared" si="19"/>
        <v>0.77816222431760407</v>
      </c>
    </row>
    <row r="65" spans="4:19" x14ac:dyDescent="0.25">
      <c r="D65" s="47">
        <f t="shared" si="16"/>
        <v>4.2578107640309701</v>
      </c>
      <c r="E65" s="47">
        <f t="shared" si="16"/>
        <v>5.5546224079511699</v>
      </c>
      <c r="F65" s="47">
        <f t="shared" si="16"/>
        <v>5.4970315675913994</v>
      </c>
      <c r="G65" s="47">
        <f t="shared" si="16"/>
        <v>5.9651573277161001</v>
      </c>
      <c r="H65" s="47">
        <f t="shared" si="16"/>
        <v>81.517737587583909</v>
      </c>
      <c r="I65" s="46">
        <f t="shared" si="18"/>
        <v>1.1610409320676398</v>
      </c>
      <c r="J65" s="37"/>
      <c r="K65" s="37"/>
      <c r="L65" s="37"/>
      <c r="M65" s="37"/>
      <c r="N65" s="47">
        <f t="shared" si="17"/>
        <v>1.06928118697983</v>
      </c>
      <c r="O65" s="47">
        <f t="shared" si="17"/>
        <v>1.4528963346914199</v>
      </c>
      <c r="P65" s="47">
        <f t="shared" si="17"/>
        <v>1.54623102012449</v>
      </c>
      <c r="Q65" s="47">
        <f t="shared" si="17"/>
        <v>1.8481220025776099</v>
      </c>
      <c r="R65" s="47">
        <f t="shared" si="17"/>
        <v>26.1504971995986</v>
      </c>
      <c r="S65" s="46">
        <f t="shared" si="19"/>
        <v>0.76955068172413654</v>
      </c>
    </row>
    <row r="66" spans="4:19" x14ac:dyDescent="0.25">
      <c r="D66" s="47">
        <f t="shared" si="16"/>
        <v>4.24935999840981</v>
      </c>
      <c r="E66" s="47">
        <f t="shared" si="16"/>
        <v>5.4179807397507105</v>
      </c>
      <c r="F66" s="47">
        <f t="shared" si="16"/>
        <v>5.3764583802689501</v>
      </c>
      <c r="G66" s="47">
        <f t="shared" si="16"/>
        <v>5.6867815939530999</v>
      </c>
      <c r="H66" s="47">
        <f t="shared" si="16"/>
        <v>77.321672883691193</v>
      </c>
      <c r="I66" s="46">
        <f t="shared" si="18"/>
        <v>1.1012772165990967</v>
      </c>
      <c r="N66" s="47">
        <f t="shared" si="17"/>
        <v>1.00221355218743</v>
      </c>
      <c r="O66" s="47">
        <f t="shared" si="17"/>
        <v>1.4632975318553099</v>
      </c>
      <c r="P66" s="47">
        <f t="shared" si="17"/>
        <v>1.5744399576082999</v>
      </c>
      <c r="Q66" s="47">
        <f t="shared" si="17"/>
        <v>1.87693292094144</v>
      </c>
      <c r="R66" s="47">
        <f t="shared" si="17"/>
        <v>27.556410514633697</v>
      </c>
      <c r="S66" s="46">
        <f t="shared" si="19"/>
        <v>0.81092356812749355</v>
      </c>
    </row>
    <row r="67" spans="4:19" x14ac:dyDescent="0.25">
      <c r="D67" s="47">
        <f t="shared" si="16"/>
        <v>4.1486527519741303</v>
      </c>
      <c r="E67" s="47">
        <f t="shared" si="16"/>
        <v>5.1843086756067693</v>
      </c>
      <c r="F67" s="47">
        <f t="shared" si="16"/>
        <v>5.1219767575155402</v>
      </c>
      <c r="G67" s="47">
        <f t="shared" si="16"/>
        <v>5.3861932412615694</v>
      </c>
      <c r="H67" s="47">
        <f t="shared" si="16"/>
        <v>67.617049569505596</v>
      </c>
      <c r="I67" s="46">
        <f t="shared" si="18"/>
        <v>0.96305619585546476</v>
      </c>
      <c r="N67" s="47">
        <f t="shared" si="17"/>
        <v>1.0385800698221102</v>
      </c>
      <c r="O67" s="47">
        <f t="shared" si="17"/>
        <v>1.5459266694898799</v>
      </c>
      <c r="P67" s="47">
        <f t="shared" si="17"/>
        <v>1.70970262052711</v>
      </c>
      <c r="Q67" s="47">
        <f t="shared" si="17"/>
        <v>2.0942893404617298</v>
      </c>
      <c r="R67" s="47">
        <f t="shared" si="17"/>
        <v>32.163817277732001</v>
      </c>
      <c r="S67" s="46">
        <f t="shared" si="19"/>
        <v>0.94650925081872439</v>
      </c>
    </row>
    <row r="68" spans="4:19" x14ac:dyDescent="0.25">
      <c r="D68" s="47">
        <f t="shared" si="16"/>
        <v>4.1406255518159192</v>
      </c>
      <c r="E68" s="47">
        <f t="shared" si="16"/>
        <v>5.1957117954449892</v>
      </c>
      <c r="F68" s="47">
        <f t="shared" si="16"/>
        <v>5.0958150917853295</v>
      </c>
      <c r="G68" s="47">
        <f t="shared" si="16"/>
        <v>5.3907140042018504</v>
      </c>
      <c r="H68" s="47">
        <f t="shared" si="16"/>
        <v>67.163043490848096</v>
      </c>
      <c r="I68" s="46">
        <f t="shared" si="18"/>
        <v>0.95658987752612523</v>
      </c>
      <c r="N68" s="47">
        <f t="shared" si="17"/>
        <v>1.02459995389494</v>
      </c>
      <c r="O68" s="47">
        <f t="shared" si="17"/>
        <v>1.5540644855324899</v>
      </c>
      <c r="P68" s="47">
        <f t="shared" si="17"/>
        <v>1.73025632509512</v>
      </c>
      <c r="Q68" s="47">
        <f t="shared" si="17"/>
        <v>2.1291674242823699</v>
      </c>
      <c r="R68" s="47">
        <f t="shared" si="17"/>
        <v>32.423254793291001</v>
      </c>
      <c r="S68" s="46">
        <f t="shared" si="19"/>
        <v>0.95414391701414603</v>
      </c>
    </row>
    <row r="69" spans="4:19" x14ac:dyDescent="0.25">
      <c r="D69" s="47">
        <f t="shared" si="16"/>
        <v>4.1678717283755402</v>
      </c>
      <c r="E69" s="47">
        <f t="shared" si="16"/>
        <v>5.24625322861149</v>
      </c>
      <c r="F69" s="47">
        <f t="shared" si="16"/>
        <v>5.13992667774456</v>
      </c>
      <c r="G69" s="47">
        <f t="shared" si="16"/>
        <v>5.4160500988925797</v>
      </c>
      <c r="H69" s="47">
        <f t="shared" si="16"/>
        <v>69.178550839845997</v>
      </c>
      <c r="I69" s="46">
        <f t="shared" si="18"/>
        <v>0.98529634804802202</v>
      </c>
      <c r="N69" s="47">
        <f t="shared" si="17"/>
        <v>1.01022501447786</v>
      </c>
      <c r="O69" s="47">
        <f t="shared" si="17"/>
        <v>1.5727517602613801</v>
      </c>
      <c r="P69" s="47">
        <f t="shared" si="17"/>
        <v>1.7475137995328001</v>
      </c>
      <c r="Q69" s="47">
        <f t="shared" si="17"/>
        <v>2.1521839472257001</v>
      </c>
      <c r="R69" s="47">
        <f t="shared" si="17"/>
        <v>33.137789627722299</v>
      </c>
      <c r="S69" s="46">
        <f t="shared" si="19"/>
        <v>0.97517108008317899</v>
      </c>
    </row>
    <row r="70" spans="4:19" x14ac:dyDescent="0.25">
      <c r="D70" s="47">
        <f t="shared" si="16"/>
        <v>4.17925153339361</v>
      </c>
      <c r="E70" s="47">
        <f t="shared" si="16"/>
        <v>5.2296500750798298</v>
      </c>
      <c r="F70" s="47">
        <f t="shared" si="16"/>
        <v>5.1328923670416495</v>
      </c>
      <c r="G70" s="47">
        <f t="shared" si="16"/>
        <v>5.4107169928425005</v>
      </c>
      <c r="H70" s="47">
        <f t="shared" si="16"/>
        <v>68.968546103165195</v>
      </c>
      <c r="I70" s="46">
        <f t="shared" si="18"/>
        <v>0.98230529232898267</v>
      </c>
      <c r="N70" s="47">
        <f t="shared" si="17"/>
        <v>1.0008532544828201</v>
      </c>
      <c r="O70" s="47">
        <f t="shared" si="17"/>
        <v>1.5446004280810701</v>
      </c>
      <c r="P70" s="47">
        <f t="shared" si="17"/>
        <v>1.70601651664151</v>
      </c>
      <c r="Q70" s="47">
        <f t="shared" si="17"/>
        <v>2.09256269339242</v>
      </c>
      <c r="R70" s="47">
        <f t="shared" si="17"/>
        <v>31.902933872480801</v>
      </c>
      <c r="S70" s="46">
        <f t="shared" si="19"/>
        <v>0.93883203532147352</v>
      </c>
    </row>
    <row r="71" spans="4:19" x14ac:dyDescent="0.25">
      <c r="D71" s="47">
        <f t="shared" si="16"/>
        <v>4.1249300058992304</v>
      </c>
      <c r="E71" s="47">
        <f t="shared" si="16"/>
        <v>5.13118335535607</v>
      </c>
      <c r="F71" s="47">
        <f t="shared" si="16"/>
        <v>5.0819655959942605</v>
      </c>
      <c r="G71" s="47">
        <f t="shared" si="16"/>
        <v>5.3648871565518998</v>
      </c>
      <c r="H71" s="47">
        <f t="shared" si="16"/>
        <v>66.283709470958698</v>
      </c>
      <c r="I71" s="46">
        <f t="shared" si="18"/>
        <v>0.94406569787805472</v>
      </c>
      <c r="N71" s="47">
        <f t="shared" si="17"/>
        <v>1.00516014348192</v>
      </c>
      <c r="O71" s="47">
        <f t="shared" si="17"/>
        <v>1.46295006173523</v>
      </c>
      <c r="P71" s="47">
        <f t="shared" si="17"/>
        <v>1.59111334517852</v>
      </c>
      <c r="Q71" s="47">
        <f t="shared" si="17"/>
        <v>1.91272810178187</v>
      </c>
      <c r="R71" s="47">
        <f t="shared" si="17"/>
        <v>27.980460400458103</v>
      </c>
      <c r="S71" s="46">
        <f t="shared" si="19"/>
        <v>0.82340240844285939</v>
      </c>
    </row>
    <row r="72" spans="4:19" x14ac:dyDescent="0.25">
      <c r="D72" s="47">
        <f t="shared" si="16"/>
        <v>8.7680360625000002</v>
      </c>
      <c r="E72" s="47">
        <f t="shared" si="16"/>
        <v>8.6428027741935498</v>
      </c>
      <c r="F72" s="47">
        <f t="shared" si="16"/>
        <v>8.8128551006711398</v>
      </c>
      <c r="G72" s="47">
        <f t="shared" si="16"/>
        <v>8.7345931386861295</v>
      </c>
      <c r="H72" s="47">
        <f t="shared" si="16"/>
        <v>85.204319749999996</v>
      </c>
      <c r="I72" s="46">
        <f t="shared" si="18"/>
        <v>1.2135481889747237</v>
      </c>
      <c r="N72" s="47">
        <f t="shared" si="17"/>
        <v>2.2033027499999998</v>
      </c>
      <c r="O72" s="47">
        <f t="shared" si="17"/>
        <v>2.1521519999999899</v>
      </c>
      <c r="P72" s="47">
        <f t="shared" si="17"/>
        <v>2.21664704697986</v>
      </c>
      <c r="Q72" s="47">
        <f t="shared" si="17"/>
        <v>2.2255975182481702</v>
      </c>
      <c r="R72" s="47">
        <f t="shared" si="17"/>
        <v>27.011183062499899</v>
      </c>
      <c r="S72" s="46">
        <f t="shared" si="19"/>
        <v>0.79487874288834981</v>
      </c>
    </row>
    <row r="73" spans="4:19" x14ac:dyDescent="0.25">
      <c r="D73" s="47">
        <f t="shared" si="16"/>
        <v>4.6347388661991298</v>
      </c>
      <c r="E73" s="47">
        <f t="shared" si="16"/>
        <v>5.3075585155062095</v>
      </c>
      <c r="F73" s="47">
        <f t="shared" si="16"/>
        <v>5.23007832125466</v>
      </c>
      <c r="G73" s="47">
        <f t="shared" si="16"/>
        <v>5.2083265287381399</v>
      </c>
      <c r="H73" s="47">
        <f t="shared" si="16"/>
        <v>53.712402997823304</v>
      </c>
      <c r="I73" s="46">
        <f t="shared" si="18"/>
        <v>0.76501507875120367</v>
      </c>
      <c r="N73" s="47">
        <f t="shared" si="17"/>
        <v>1.0557688179646301</v>
      </c>
      <c r="O73" s="47">
        <f t="shared" si="17"/>
        <v>1.33121612223792</v>
      </c>
      <c r="P73" s="47">
        <f t="shared" si="17"/>
        <v>1.4003551589505001</v>
      </c>
      <c r="Q73" s="47">
        <f t="shared" si="17"/>
        <v>1.5680180686368401</v>
      </c>
      <c r="R73" s="47">
        <f t="shared" si="17"/>
        <v>22.108480279944402</v>
      </c>
      <c r="S73" s="46">
        <f t="shared" si="19"/>
        <v>0.65060315838189853</v>
      </c>
    </row>
    <row r="74" spans="4:19" x14ac:dyDescent="0.25">
      <c r="D74" s="47">
        <f t="shared" si="16"/>
        <v>4.4132941502024794</v>
      </c>
      <c r="E74" s="47">
        <f t="shared" si="16"/>
        <v>5.6336388034682008</v>
      </c>
      <c r="F74" s="47">
        <f t="shared" si="16"/>
        <v>6.0108215174850601</v>
      </c>
      <c r="G74" s="47">
        <f t="shared" si="16"/>
        <v>6.4927458122698596</v>
      </c>
      <c r="H74" s="47">
        <f t="shared" si="16"/>
        <v>93.440138268914495</v>
      </c>
      <c r="I74" s="46">
        <f t="shared" si="18"/>
        <v>1.330849314993668</v>
      </c>
      <c r="N74" s="47">
        <f t="shared" si="17"/>
        <v>1.0900329539739901</v>
      </c>
      <c r="O74" s="47">
        <f t="shared" si="17"/>
        <v>1.3379647602309102</v>
      </c>
      <c r="P74" s="47">
        <f t="shared" si="17"/>
        <v>1.6914126507288199</v>
      </c>
      <c r="Q74" s="47">
        <f t="shared" si="17"/>
        <v>2.0179903317013301</v>
      </c>
      <c r="R74" s="47">
        <f t="shared" si="17"/>
        <v>26.903578311511101</v>
      </c>
      <c r="S74" s="46">
        <f t="shared" si="19"/>
        <v>0.79171217558187967</v>
      </c>
    </row>
    <row r="75" spans="4:19" x14ac:dyDescent="0.25">
      <c r="D75" s="47">
        <f t="shared" si="16"/>
        <v>6.7350592223621497</v>
      </c>
      <c r="E75" s="47">
        <f t="shared" si="16"/>
        <v>6.8626496035323195</v>
      </c>
      <c r="F75" s="47">
        <f t="shared" si="16"/>
        <v>6.7785363875781703</v>
      </c>
      <c r="G75" s="47">
        <f t="shared" si="16"/>
        <v>6.3843838807375297</v>
      </c>
      <c r="H75" s="47">
        <f t="shared" si="16"/>
        <v>57.663213736309196</v>
      </c>
      <c r="I75" s="46">
        <f t="shared" si="18"/>
        <v>0.82128569074293245</v>
      </c>
      <c r="N75" s="47">
        <f t="shared" si="17"/>
        <v>1.4573273428756999</v>
      </c>
      <c r="O75" s="47">
        <f t="shared" si="17"/>
        <v>1.47443166048199</v>
      </c>
      <c r="P75" s="47">
        <f t="shared" si="17"/>
        <v>1.61726963542503</v>
      </c>
      <c r="Q75" s="47">
        <f t="shared" si="17"/>
        <v>1.7052639716768498</v>
      </c>
      <c r="R75" s="47">
        <f t="shared" si="17"/>
        <v>20.914880268751897</v>
      </c>
      <c r="S75" s="46">
        <f t="shared" si="19"/>
        <v>0.61547817795386961</v>
      </c>
    </row>
    <row r="76" spans="4:19" x14ac:dyDescent="0.25">
      <c r="D76" s="47">
        <f t="shared" si="16"/>
        <v>7.6916569374999897</v>
      </c>
      <c r="E76" s="47">
        <f t="shared" si="16"/>
        <v>7.43603941935483</v>
      </c>
      <c r="F76" s="47">
        <f t="shared" si="16"/>
        <v>7.6375181208053604</v>
      </c>
      <c r="G76" s="47">
        <f t="shared" si="16"/>
        <v>7.6077796350364899</v>
      </c>
      <c r="H76" s="47">
        <f t="shared" si="16"/>
        <v>83.461560749999904</v>
      </c>
      <c r="I76" s="46">
        <f t="shared" si="18"/>
        <v>1.1887264189696938</v>
      </c>
      <c r="N76" s="47">
        <f t="shared" si="17"/>
        <v>1.9305883750000001</v>
      </c>
      <c r="O76" s="47">
        <f t="shared" si="17"/>
        <v>1.9580743225806401</v>
      </c>
      <c r="P76" s="47">
        <f t="shared" si="17"/>
        <v>2.0210426174496599</v>
      </c>
      <c r="Q76" s="47">
        <f t="shared" si="17"/>
        <v>2.2501743795620399</v>
      </c>
      <c r="R76" s="47">
        <f t="shared" si="17"/>
        <v>36.669258187500006</v>
      </c>
      <c r="S76" s="46">
        <f t="shared" si="19"/>
        <v>1.0790943063576683</v>
      </c>
    </row>
    <row r="77" spans="4:19" x14ac:dyDescent="0.25">
      <c r="H77"/>
    </row>
    <row r="78" spans="4:19" x14ac:dyDescent="0.25">
      <c r="H78"/>
    </row>
    <row r="79" spans="4:19" x14ac:dyDescent="0.25">
      <c r="H79"/>
    </row>
    <row r="80" spans="4:19" x14ac:dyDescent="0.25">
      <c r="H80"/>
    </row>
  </sheetData>
  <mergeCells count="8">
    <mergeCell ref="H43:I43"/>
    <mergeCell ref="R43:S43"/>
    <mergeCell ref="D3:G3"/>
    <mergeCell ref="H3:K3"/>
    <mergeCell ref="B5:B16"/>
    <mergeCell ref="B23:B33"/>
    <mergeCell ref="D42:H42"/>
    <mergeCell ref="N42:R4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bias_BenchmarkModels_mean</vt:lpstr>
      <vt:lpstr>bias_BenchmarkModels_median</vt:lpstr>
      <vt:lpstr>MAE_BenchmarkModels</vt:lpstr>
      <vt:lpstr>CRPS_BenchmarkModels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 de Castro Brigatto</dc:creator>
  <cp:lastModifiedBy>Arthu de Castro Brigatto</cp:lastModifiedBy>
  <cp:lastPrinted>2023-08-21T18:52:54Z</cp:lastPrinted>
  <dcterms:created xsi:type="dcterms:W3CDTF">2022-10-24T19:35:38Z</dcterms:created>
  <dcterms:modified xsi:type="dcterms:W3CDTF">2024-05-13T15:51:55Z</dcterms:modified>
</cp:coreProperties>
</file>