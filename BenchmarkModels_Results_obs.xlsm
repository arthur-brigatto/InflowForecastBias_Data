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igatto\Documents\GitHub\InflowForecastBias_Data\"/>
    </mc:Choice>
  </mc:AlternateContent>
  <xr:revisionPtr revIDLastSave="0" documentId="13_ncr:1_{80648645-0CAB-407E-95BD-E2C0588D4B5C}" xr6:coauthVersionLast="36" xr6:coauthVersionMax="47" xr10:uidLastSave="{00000000-0000-0000-0000-000000000000}"/>
  <bookViews>
    <workbookView xWindow="28680" yWindow="-120" windowWidth="29040" windowHeight="15990" tabRatio="973" xr2:uid="{00000000-000D-0000-FFFF-FFFF00000000}"/>
  </bookViews>
  <sheets>
    <sheet name="bias_BenchmarkModels" sheetId="43" r:id="rId1"/>
  </sheets>
  <calcPr calcId="191029"/>
</workbook>
</file>

<file path=xl/calcChain.xml><?xml version="1.0" encoding="utf-8"?>
<calcChain xmlns="http://schemas.openxmlformats.org/spreadsheetml/2006/main">
  <c r="N59" i="43" l="1"/>
  <c r="O59" i="43"/>
  <c r="P59" i="43"/>
  <c r="Q59" i="43"/>
  <c r="G59" i="43"/>
  <c r="F59" i="43"/>
  <c r="E59" i="43"/>
  <c r="D59" i="43"/>
  <c r="Q58" i="43" l="1"/>
  <c r="P58" i="43"/>
  <c r="O58" i="43"/>
  <c r="N58" i="43"/>
  <c r="Q57" i="43"/>
  <c r="P57" i="43"/>
  <c r="O57" i="43"/>
  <c r="N57" i="43"/>
  <c r="Q56" i="43"/>
  <c r="P56" i="43"/>
  <c r="O56" i="43"/>
  <c r="N56" i="43"/>
  <c r="Q55" i="43"/>
  <c r="P55" i="43"/>
  <c r="O55" i="43"/>
  <c r="N55" i="43"/>
  <c r="Q54" i="43"/>
  <c r="P54" i="43"/>
  <c r="O54" i="43"/>
  <c r="N54" i="43"/>
  <c r="Q53" i="43"/>
  <c r="P53" i="43"/>
  <c r="O53" i="43"/>
  <c r="N53" i="43"/>
  <c r="Q52" i="43"/>
  <c r="P52" i="43"/>
  <c r="O52" i="43"/>
  <c r="N52" i="43"/>
  <c r="Q51" i="43"/>
  <c r="P51" i="43"/>
  <c r="O51" i="43"/>
  <c r="N51" i="43"/>
  <c r="Q50" i="43"/>
  <c r="P50" i="43"/>
  <c r="O50" i="43"/>
  <c r="N50" i="43"/>
  <c r="Q49" i="43"/>
  <c r="P49" i="43"/>
  <c r="O49" i="43"/>
  <c r="N49" i="43"/>
  <c r="Q48" i="43"/>
  <c r="P48" i="43"/>
  <c r="O48" i="43"/>
  <c r="N48" i="43"/>
  <c r="Q47" i="43"/>
  <c r="P47" i="43"/>
  <c r="O47" i="43"/>
  <c r="N47" i="43"/>
  <c r="Q46" i="43"/>
  <c r="P46" i="43"/>
  <c r="O46" i="43"/>
  <c r="N46" i="43"/>
  <c r="Q45" i="43"/>
  <c r="P45" i="43"/>
  <c r="O45" i="43"/>
  <c r="N45" i="43"/>
  <c r="Q44" i="43"/>
  <c r="P44" i="43"/>
  <c r="O44" i="43"/>
  <c r="N44" i="43"/>
  <c r="G58" i="43"/>
  <c r="F58" i="43"/>
  <c r="E58" i="43"/>
  <c r="D58" i="43"/>
  <c r="G57" i="43"/>
  <c r="F57" i="43"/>
  <c r="E57" i="43"/>
  <c r="D57" i="43"/>
  <c r="G56" i="43"/>
  <c r="F56" i="43"/>
  <c r="E56" i="43"/>
  <c r="D56" i="43"/>
  <c r="G55" i="43"/>
  <c r="F55" i="43"/>
  <c r="E55" i="43"/>
  <c r="D55" i="43"/>
  <c r="G54" i="43"/>
  <c r="F54" i="43"/>
  <c r="E54" i="43"/>
  <c r="D54" i="43"/>
  <c r="G53" i="43"/>
  <c r="F53" i="43"/>
  <c r="E53" i="43"/>
  <c r="D53" i="43"/>
  <c r="G52" i="43"/>
  <c r="F52" i="43"/>
  <c r="E52" i="43"/>
  <c r="D52" i="43"/>
  <c r="G51" i="43"/>
  <c r="F51" i="43"/>
  <c r="E51" i="43"/>
  <c r="D51" i="43"/>
  <c r="G50" i="43"/>
  <c r="F50" i="43"/>
  <c r="E50" i="43"/>
  <c r="D50" i="43"/>
  <c r="G49" i="43"/>
  <c r="F49" i="43"/>
  <c r="E49" i="43"/>
  <c r="D49" i="43"/>
  <c r="G48" i="43"/>
  <c r="F48" i="43"/>
  <c r="E48" i="43"/>
  <c r="D48" i="43"/>
  <c r="G47" i="43"/>
  <c r="F47" i="43"/>
  <c r="E47" i="43"/>
  <c r="D47" i="43"/>
  <c r="G46" i="43"/>
  <c r="F46" i="43"/>
  <c r="E46" i="43"/>
  <c r="D46" i="43"/>
  <c r="G45" i="43"/>
  <c r="F45" i="43"/>
  <c r="E45" i="43"/>
  <c r="D45" i="43"/>
  <c r="G44" i="43"/>
  <c r="F44" i="43"/>
  <c r="E44" i="43"/>
  <c r="D44" i="43"/>
</calcChain>
</file>

<file path=xl/sharedStrings.xml><?xml version="1.0" encoding="utf-8"?>
<sst xmlns="http://schemas.openxmlformats.org/spreadsheetml/2006/main" count="79" uniqueCount="25">
  <si>
    <t>K = 1</t>
  </si>
  <si>
    <t>K = 6</t>
  </si>
  <si>
    <t>K = 12</t>
  </si>
  <si>
    <t>K = 24</t>
  </si>
  <si>
    <t>PARp-A (J = 20)</t>
  </si>
  <si>
    <t>PARp-A (J = 30)</t>
  </si>
  <si>
    <t>PARp-A (J = 40)</t>
  </si>
  <si>
    <t>PARp-A (J = 50)</t>
  </si>
  <si>
    <t>PARp-A (J = 60)</t>
  </si>
  <si>
    <t>PARp-A (J = 70)</t>
  </si>
  <si>
    <t>PARp-A (J = 80)</t>
  </si>
  <si>
    <t>SARIMA</t>
  </si>
  <si>
    <t xml:space="preserve">PARp-A  </t>
  </si>
  <si>
    <t>Southeast submarket</t>
  </si>
  <si>
    <t>Northeast submarket</t>
  </si>
  <si>
    <t>Seasonal Naïve</t>
  </si>
  <si>
    <t>Summary of bias results</t>
  </si>
  <si>
    <t>PARp-A (NEWAVE)</t>
  </si>
  <si>
    <t>Structural Model</t>
  </si>
  <si>
    <t>Monthly Median</t>
  </si>
  <si>
    <t>PARp-A (w = 2)</t>
  </si>
  <si>
    <t>PARp-A (w = 4)</t>
  </si>
  <si>
    <t>PARp-A (w = 11)</t>
  </si>
  <si>
    <t>Score Driven Model</t>
  </si>
  <si>
    <t xml:space="preserve">Accumulated bias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</si>
</sst>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\ #,##0.0_-;\-\ #,##0.0_-;_-\ &quot;-&quot;??_-;_-@_-"/>
    <numFmt numFmtId="165" formatCode="0.0"/>
    <numFmt numFmtId="166" formatCode="_-\ #,##0.00_-;\-\ #,##0.00_-;_-\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11" fontId="0" fillId="0" borderId="0" xfId="0" applyNumberFormat="1"/>
    <xf numFmtId="0" fontId="0" fillId="0" borderId="0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1" xfId="1" applyFont="1" applyBorder="1" applyAlignment="1">
      <alignment horizontal="center"/>
    </xf>
    <xf numFmtId="9" fontId="0" fillId="0" borderId="0" xfId="0" applyNumberFormat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2" fontId="0" fillId="0" borderId="0" xfId="0" applyNumberFormat="1" applyAlignment="1">
      <alignment horizontal="left" indent="1"/>
    </xf>
    <xf numFmtId="9" fontId="0" fillId="0" borderId="0" xfId="1" applyFont="1"/>
    <xf numFmtId="2" fontId="0" fillId="0" borderId="0" xfId="0" applyNumberFormat="1"/>
    <xf numFmtId="165" fontId="0" fillId="0" borderId="0" xfId="0" applyNumberFormat="1"/>
    <xf numFmtId="9" fontId="0" fillId="0" borderId="2" xfId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164" fontId="0" fillId="0" borderId="0" xfId="2" applyNumberFormat="1" applyFont="1" applyFill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166" fontId="0" fillId="0" borderId="0" xfId="2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9" fontId="0" fillId="0" borderId="0" xfId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86E67-B5BA-4498-AC40-504EA00A46AE}">
  <sheetPr codeName="Planilha1"/>
  <dimension ref="A1:AB80"/>
  <sheetViews>
    <sheetView showGridLines="0" tabSelected="1" workbookViewId="0">
      <selection activeCell="A23" sqref="A23"/>
    </sheetView>
  </sheetViews>
  <sheetFormatPr defaultRowHeight="15" x14ac:dyDescent="0.25"/>
  <cols>
    <col min="3" max="3" width="23.85546875" customWidth="1"/>
    <col min="4" max="7" width="13.5703125" bestFit="1" customWidth="1"/>
    <col min="8" max="8" width="21.28515625" style="7" customWidth="1"/>
    <col min="9" max="12" width="12.85546875" bestFit="1" customWidth="1"/>
    <col min="13" max="13" width="21.7109375" bestFit="1" customWidth="1"/>
    <col min="14" max="15" width="13.5703125" bestFit="1" customWidth="1"/>
    <col min="16" max="16" width="13" bestFit="1" customWidth="1"/>
    <col min="17" max="17" width="13.5703125" bestFit="1" customWidth="1"/>
    <col min="18" max="18" width="16.5703125" customWidth="1"/>
    <col min="19" max="19" width="12.5703125" bestFit="1" customWidth="1"/>
    <col min="20" max="20" width="12.85546875" bestFit="1" customWidth="1"/>
    <col min="21" max="22" width="12.5703125" bestFit="1" customWidth="1"/>
    <col min="23" max="23" width="12.85546875" bestFit="1" customWidth="1"/>
    <col min="24" max="27" width="12.5703125" bestFit="1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8.75" x14ac:dyDescent="0.25">
      <c r="A2" s="1"/>
      <c r="B2" s="1"/>
      <c r="C2" s="8"/>
      <c r="H2"/>
      <c r="AB2" s="1"/>
    </row>
    <row r="3" spans="1:28" x14ac:dyDescent="0.25">
      <c r="A3" s="1"/>
      <c r="B3" s="1"/>
      <c r="C3" s="1"/>
      <c r="D3" s="28"/>
      <c r="E3" s="28"/>
      <c r="F3" s="28"/>
      <c r="G3" s="28"/>
      <c r="H3" s="28"/>
      <c r="I3" s="28"/>
      <c r="J3" s="28"/>
      <c r="K3" s="28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15.75" thickBot="1" x14ac:dyDescent="0.3">
      <c r="A4" s="1"/>
      <c r="B4" s="1"/>
      <c r="C4" s="9" t="s">
        <v>13</v>
      </c>
      <c r="D4" s="9">
        <v>1</v>
      </c>
      <c r="E4" s="9">
        <v>2</v>
      </c>
      <c r="F4" s="9">
        <v>3</v>
      </c>
      <c r="G4" s="9">
        <v>4</v>
      </c>
      <c r="H4" s="9">
        <v>5</v>
      </c>
      <c r="I4" s="9">
        <v>6</v>
      </c>
      <c r="J4" s="9">
        <v>7</v>
      </c>
      <c r="K4" s="9">
        <v>8</v>
      </c>
      <c r="L4" s="9">
        <v>9</v>
      </c>
      <c r="M4" s="9">
        <v>10</v>
      </c>
      <c r="N4" s="9">
        <v>11</v>
      </c>
      <c r="O4" s="9">
        <v>12</v>
      </c>
      <c r="P4" s="9">
        <v>13</v>
      </c>
      <c r="Q4" s="9">
        <v>14</v>
      </c>
      <c r="R4" s="9">
        <v>15</v>
      </c>
      <c r="S4" s="9">
        <v>16</v>
      </c>
      <c r="T4" s="9">
        <v>17</v>
      </c>
      <c r="U4" s="9">
        <v>18</v>
      </c>
      <c r="V4" s="9">
        <v>19</v>
      </c>
      <c r="W4" s="9">
        <v>20</v>
      </c>
      <c r="X4" s="9">
        <v>21</v>
      </c>
      <c r="Y4" s="9">
        <v>22</v>
      </c>
      <c r="Z4" s="9">
        <v>23</v>
      </c>
      <c r="AA4" s="9">
        <v>24</v>
      </c>
    </row>
    <row r="5" spans="1:28" ht="16.5" thickTop="1" thickBot="1" x14ac:dyDescent="0.3">
      <c r="A5" s="1"/>
      <c r="B5" s="28"/>
      <c r="C5" s="3" t="s">
        <v>17</v>
      </c>
      <c r="D5" s="19">
        <v>5.5756795382468097E-2</v>
      </c>
      <c r="E5" s="19">
        <v>8.7452520216652896E-2</v>
      </c>
      <c r="F5" s="19">
        <v>0.100391881532795</v>
      </c>
      <c r="G5" s="19">
        <v>0.111433314347711</v>
      </c>
      <c r="H5" s="19">
        <v>0.116751702861426</v>
      </c>
      <c r="I5" s="19">
        <v>0.12965380968184601</v>
      </c>
      <c r="J5" s="19">
        <v>0.13679706050948701</v>
      </c>
      <c r="K5" s="19">
        <v>0.14791824951277299</v>
      </c>
      <c r="L5" s="19">
        <v>0.17031153840572999</v>
      </c>
      <c r="M5" s="19">
        <v>0.16623664026306001</v>
      </c>
      <c r="N5" s="19">
        <v>0.172784537981025</v>
      </c>
      <c r="O5" s="19">
        <v>0.18135543032408599</v>
      </c>
      <c r="P5" s="19">
        <v>0.17940406361047001</v>
      </c>
      <c r="Q5" s="19">
        <v>0.187934744232409</v>
      </c>
      <c r="R5" s="19">
        <v>0.19580559535623199</v>
      </c>
      <c r="S5" s="19">
        <v>0.197182225976443</v>
      </c>
      <c r="T5" s="19">
        <v>0.198294913359959</v>
      </c>
      <c r="U5" s="19">
        <v>0.20238586092411401</v>
      </c>
      <c r="V5" s="19">
        <v>0.203575373023621</v>
      </c>
      <c r="W5" s="19">
        <v>0.217230354885036</v>
      </c>
      <c r="X5" s="19">
        <v>0.22502721936623801</v>
      </c>
      <c r="Y5" s="19">
        <v>0.23387539096745599</v>
      </c>
      <c r="Z5" s="19">
        <v>0.23239348111397501</v>
      </c>
      <c r="AA5" s="19">
        <v>0.22568418846810201</v>
      </c>
    </row>
    <row r="6" spans="1:28" ht="15.75" thickTop="1" x14ac:dyDescent="0.25">
      <c r="A6" s="1"/>
      <c r="B6" s="28"/>
      <c r="C6" s="10" t="s">
        <v>4</v>
      </c>
      <c r="D6" s="4">
        <v>9.3116874599783503E-2</v>
      </c>
      <c r="E6" s="4">
        <v>0.12897534273903499</v>
      </c>
      <c r="F6" s="4">
        <v>0.13589850722351501</v>
      </c>
      <c r="G6" s="4">
        <v>0.14405574874080701</v>
      </c>
      <c r="H6" s="4">
        <v>0.14650575393625401</v>
      </c>
      <c r="I6" s="4">
        <v>0.160283401926539</v>
      </c>
      <c r="J6" s="4">
        <v>0.160319900244356</v>
      </c>
      <c r="K6" s="4">
        <v>0.16330222530557001</v>
      </c>
      <c r="L6" s="4">
        <v>0.163417809225441</v>
      </c>
      <c r="M6" s="4">
        <v>0.151994133940593</v>
      </c>
      <c r="N6" s="4">
        <v>0.152011342347846</v>
      </c>
      <c r="O6" s="4">
        <v>0.15521734876482399</v>
      </c>
      <c r="P6" s="4">
        <v>0.15725208151592701</v>
      </c>
      <c r="Q6" s="4">
        <v>0.155297520098342</v>
      </c>
      <c r="R6" s="4">
        <v>0.15095449948300299</v>
      </c>
      <c r="S6" s="4">
        <v>0.153579992323777</v>
      </c>
      <c r="T6" s="4">
        <v>0.16706212153015701</v>
      </c>
      <c r="U6" s="4">
        <v>0.178652531620068</v>
      </c>
      <c r="V6" s="4">
        <v>0.18989165286484</v>
      </c>
      <c r="W6" s="4">
        <v>0.187847384947503</v>
      </c>
      <c r="X6" s="4">
        <v>0.18844272748468799</v>
      </c>
      <c r="Y6" s="4">
        <v>0.18601138609277801</v>
      </c>
      <c r="Z6" s="4">
        <v>0.18392102242128</v>
      </c>
      <c r="AA6" s="4">
        <v>0.181693840740795</v>
      </c>
    </row>
    <row r="7" spans="1:28" x14ac:dyDescent="0.25">
      <c r="A7" s="1"/>
      <c r="B7" s="28"/>
      <c r="C7" s="10" t="s">
        <v>5</v>
      </c>
      <c r="D7" s="4">
        <v>8.9429983168139798E-2</v>
      </c>
      <c r="E7" s="4">
        <v>0.129443593781676</v>
      </c>
      <c r="F7" s="4">
        <v>0.159166620140859</v>
      </c>
      <c r="G7" s="4">
        <v>0.178635301094278</v>
      </c>
      <c r="H7" s="4">
        <v>0.189912269356911</v>
      </c>
      <c r="I7" s="4">
        <v>0.21045884657970201</v>
      </c>
      <c r="J7" s="4">
        <v>0.20868583062464499</v>
      </c>
      <c r="K7" s="4">
        <v>0.21693173093540399</v>
      </c>
      <c r="L7" s="4">
        <v>0.22512864408149499</v>
      </c>
      <c r="M7" s="4">
        <v>0.220082695319467</v>
      </c>
      <c r="N7" s="4">
        <v>0.22416058945987</v>
      </c>
      <c r="O7" s="4">
        <v>0.22347400462054501</v>
      </c>
      <c r="P7" s="4">
        <v>0.23383820014361001</v>
      </c>
      <c r="Q7" s="4">
        <v>0.238074881692866</v>
      </c>
      <c r="R7" s="4">
        <v>0.23914713945976501</v>
      </c>
      <c r="S7" s="4">
        <v>0.23979051237358801</v>
      </c>
      <c r="T7" s="4">
        <v>0.24292316833599101</v>
      </c>
      <c r="U7" s="4">
        <v>0.24712875774981</v>
      </c>
      <c r="V7" s="4">
        <v>0.250751522742861</v>
      </c>
      <c r="W7" s="4">
        <v>0.24697650652782199</v>
      </c>
      <c r="X7" s="4">
        <v>0.242613003830838</v>
      </c>
      <c r="Y7" s="4">
        <v>0.243205546223277</v>
      </c>
      <c r="Z7" s="4">
        <v>0.24569008051074401</v>
      </c>
      <c r="AA7" s="4">
        <v>0.24400214395691899</v>
      </c>
    </row>
    <row r="8" spans="1:28" x14ac:dyDescent="0.25">
      <c r="A8" s="1"/>
      <c r="B8" s="28"/>
      <c r="C8" s="10" t="s">
        <v>6</v>
      </c>
      <c r="D8" s="4">
        <v>8.4225835004662603E-2</v>
      </c>
      <c r="E8" s="4">
        <v>0.12811449651097701</v>
      </c>
      <c r="F8" s="4">
        <v>0.15374518081871399</v>
      </c>
      <c r="G8" s="4">
        <v>0.17043218203891999</v>
      </c>
      <c r="H8" s="4">
        <v>0.18177678228004099</v>
      </c>
      <c r="I8" s="4">
        <v>0.205976461979061</v>
      </c>
      <c r="J8" s="4">
        <v>0.20638208710781</v>
      </c>
      <c r="K8" s="4">
        <v>0.219019372854034</v>
      </c>
      <c r="L8" s="4">
        <v>0.234650009755315</v>
      </c>
      <c r="M8" s="4">
        <v>0.238242181425002</v>
      </c>
      <c r="N8" s="4">
        <v>0.246448925351475</v>
      </c>
      <c r="O8" s="4">
        <v>0.25381397882239298</v>
      </c>
      <c r="P8" s="4">
        <v>0.26138969724262601</v>
      </c>
      <c r="Q8" s="4">
        <v>0.26465621534622502</v>
      </c>
      <c r="R8" s="4">
        <v>0.26534579186957702</v>
      </c>
      <c r="S8" s="4">
        <v>0.26559152833476501</v>
      </c>
      <c r="T8" s="4">
        <v>0.27047202638440698</v>
      </c>
      <c r="U8" s="4">
        <v>0.27715567395149499</v>
      </c>
      <c r="V8" s="4">
        <v>0.28304544070802001</v>
      </c>
      <c r="W8" s="4">
        <v>0.282004412906397</v>
      </c>
      <c r="X8" s="4">
        <v>0.28066569180974299</v>
      </c>
      <c r="Y8" s="4">
        <v>0.28443014071129602</v>
      </c>
      <c r="Z8" s="4">
        <v>0.28950978517173198</v>
      </c>
      <c r="AA8" s="4">
        <v>0.28785840955473802</v>
      </c>
    </row>
    <row r="9" spans="1:28" x14ac:dyDescent="0.25">
      <c r="A9" s="1"/>
      <c r="B9" s="28"/>
      <c r="C9" s="10" t="s">
        <v>7</v>
      </c>
      <c r="D9" s="4">
        <v>6.0142359513744401E-2</v>
      </c>
      <c r="E9" s="4">
        <v>9.6217380312174597E-2</v>
      </c>
      <c r="F9" s="4">
        <v>0.117510438429157</v>
      </c>
      <c r="G9" s="4">
        <v>0.13436772853863899</v>
      </c>
      <c r="H9" s="4">
        <v>0.14549981055632399</v>
      </c>
      <c r="I9" s="4">
        <v>0.168144349565752</v>
      </c>
      <c r="J9" s="4">
        <v>0.169733259070947</v>
      </c>
      <c r="K9" s="4">
        <v>0.18104442029415199</v>
      </c>
      <c r="L9" s="4">
        <v>0.19335054283403</v>
      </c>
      <c r="M9" s="4">
        <v>0.19527193771721801</v>
      </c>
      <c r="N9" s="4">
        <v>0.20155665048836</v>
      </c>
      <c r="O9" s="4">
        <v>0.208611414676557</v>
      </c>
      <c r="P9" s="4">
        <v>0.212691581258526</v>
      </c>
      <c r="Q9" s="4">
        <v>0.21807475023281001</v>
      </c>
      <c r="R9" s="4">
        <v>0.220573044546996</v>
      </c>
      <c r="S9" s="4">
        <v>0.22231179894049399</v>
      </c>
      <c r="T9" s="4">
        <v>0.228544139805823</v>
      </c>
      <c r="U9" s="4">
        <v>0.23740822180732599</v>
      </c>
      <c r="V9" s="4">
        <v>0.24479198707622499</v>
      </c>
      <c r="W9" s="4">
        <v>0.24465411270932899</v>
      </c>
      <c r="X9" s="4">
        <v>0.243681927226503</v>
      </c>
      <c r="Y9" s="4">
        <v>0.24908361874048601</v>
      </c>
      <c r="Z9" s="4">
        <v>0.25513687765770199</v>
      </c>
      <c r="AA9" s="4">
        <v>0.25349611396271399</v>
      </c>
    </row>
    <row r="10" spans="1:28" x14ac:dyDescent="0.25">
      <c r="A10" s="1"/>
      <c r="B10" s="28"/>
      <c r="C10" s="10" t="s">
        <v>8</v>
      </c>
      <c r="D10" s="4">
        <v>5.8815682584996497E-2</v>
      </c>
      <c r="E10" s="4">
        <v>9.7270052916406502E-2</v>
      </c>
      <c r="F10" s="4">
        <v>0.119205752120117</v>
      </c>
      <c r="G10" s="4">
        <v>0.133309071588949</v>
      </c>
      <c r="H10" s="4">
        <v>0.14313014619716399</v>
      </c>
      <c r="I10" s="4">
        <v>0.16451818504840601</v>
      </c>
      <c r="J10" s="4">
        <v>0.15998009501506</v>
      </c>
      <c r="K10" s="4">
        <v>0.16694063263644501</v>
      </c>
      <c r="L10" s="4">
        <v>0.17686599624652799</v>
      </c>
      <c r="M10" s="4">
        <v>0.17828075197030299</v>
      </c>
      <c r="N10" s="4">
        <v>0.18520036538277401</v>
      </c>
      <c r="O10" s="4">
        <v>0.19229392661420899</v>
      </c>
      <c r="P10" s="4">
        <v>0.19616640643729799</v>
      </c>
      <c r="Q10" s="4">
        <v>0.20140382140139501</v>
      </c>
      <c r="R10" s="4">
        <v>0.20324984159123299</v>
      </c>
      <c r="S10" s="4">
        <v>0.20424073882701901</v>
      </c>
      <c r="T10" s="4">
        <v>0.209666202367085</v>
      </c>
      <c r="U10" s="4">
        <v>0.217361147084283</v>
      </c>
      <c r="V10" s="4">
        <v>0.223747031939592</v>
      </c>
      <c r="W10" s="4">
        <v>0.22286583804770699</v>
      </c>
      <c r="X10" s="4">
        <v>0.22119223512269501</v>
      </c>
      <c r="Y10" s="4">
        <v>0.225847770725432</v>
      </c>
      <c r="Z10" s="4">
        <v>0.23150135799083499</v>
      </c>
      <c r="AA10" s="4">
        <v>0.22985102865075299</v>
      </c>
    </row>
    <row r="11" spans="1:28" x14ac:dyDescent="0.25">
      <c r="A11" s="1"/>
      <c r="B11" s="28"/>
      <c r="C11" s="10" t="s">
        <v>9</v>
      </c>
      <c r="D11" s="4">
        <v>4.9340434017061903E-2</v>
      </c>
      <c r="E11" s="4">
        <v>8.1194858325242605E-2</v>
      </c>
      <c r="F11" s="4">
        <v>9.8819302140334395E-2</v>
      </c>
      <c r="G11" s="4">
        <v>0.11227573261144901</v>
      </c>
      <c r="H11" s="4">
        <v>0.12249148676334</v>
      </c>
      <c r="I11" s="4">
        <v>0.14457713477992501</v>
      </c>
      <c r="J11" s="4">
        <v>0.13933191257901101</v>
      </c>
      <c r="K11" s="4">
        <v>0.145118365691184</v>
      </c>
      <c r="L11" s="4">
        <v>0.152741258364745</v>
      </c>
      <c r="M11" s="4">
        <v>0.15293258858939601</v>
      </c>
      <c r="N11" s="4">
        <v>0.15828754914389201</v>
      </c>
      <c r="O11" s="4">
        <v>0.16522351313036701</v>
      </c>
      <c r="P11" s="4">
        <v>0.171125462681228</v>
      </c>
      <c r="Q11" s="4">
        <v>0.17802249107633999</v>
      </c>
      <c r="R11" s="4">
        <v>0.18156513439719499</v>
      </c>
      <c r="S11" s="4">
        <v>0.18255900049683499</v>
      </c>
      <c r="T11" s="4">
        <v>0.18787573835353399</v>
      </c>
      <c r="U11" s="4">
        <v>0.19547243431087399</v>
      </c>
      <c r="V11" s="4">
        <v>0.201221698136447</v>
      </c>
      <c r="W11" s="4">
        <v>0.199726179311293</v>
      </c>
      <c r="X11" s="4">
        <v>0.19754526203685199</v>
      </c>
      <c r="Y11" s="4">
        <v>0.20197963177574299</v>
      </c>
      <c r="Z11" s="4">
        <v>0.207551510892487</v>
      </c>
      <c r="AA11" s="4">
        <v>0.20606401471018901</v>
      </c>
    </row>
    <row r="12" spans="1:28" ht="15.75" thickBot="1" x14ac:dyDescent="0.3">
      <c r="A12" s="1"/>
      <c r="B12" s="28"/>
      <c r="C12" s="9" t="s">
        <v>10</v>
      </c>
      <c r="D12" s="13">
        <v>5.1091687735468398E-2</v>
      </c>
      <c r="E12" s="13">
        <v>8.4262433028041303E-2</v>
      </c>
      <c r="F12" s="13">
        <v>0.101425515244022</v>
      </c>
      <c r="G12" s="13">
        <v>0.113144638981845</v>
      </c>
      <c r="H12" s="13">
        <v>0.12155500750760299</v>
      </c>
      <c r="I12" s="13">
        <v>0.14055543515244201</v>
      </c>
      <c r="J12" s="13">
        <v>0.135771008563767</v>
      </c>
      <c r="K12" s="13">
        <v>0.14242507474325999</v>
      </c>
      <c r="L12" s="13">
        <v>0.15132786495124101</v>
      </c>
      <c r="M12" s="13">
        <v>0.151789276150784</v>
      </c>
      <c r="N12" s="13">
        <v>0.15750462294317999</v>
      </c>
      <c r="O12" s="13">
        <v>0.16487101744287599</v>
      </c>
      <c r="P12" s="13">
        <v>0.170285321902786</v>
      </c>
      <c r="Q12" s="13">
        <v>0.17653841192933101</v>
      </c>
      <c r="R12" s="13">
        <v>0.179243697166802</v>
      </c>
      <c r="S12" s="13">
        <v>0.179974666052163</v>
      </c>
      <c r="T12" s="13">
        <v>0.184798426081943</v>
      </c>
      <c r="U12" s="13">
        <v>0.192217341933444</v>
      </c>
      <c r="V12" s="13">
        <v>0.19789067292485699</v>
      </c>
      <c r="W12" s="13">
        <v>0.19666352564780801</v>
      </c>
      <c r="X12" s="13">
        <v>0.19471309030312101</v>
      </c>
      <c r="Y12" s="13">
        <v>0.19905617361199299</v>
      </c>
      <c r="Z12" s="13">
        <v>0.20462087718890401</v>
      </c>
      <c r="AA12" s="13">
        <v>0.20310843812201201</v>
      </c>
    </row>
    <row r="13" spans="1:28" ht="15.75" thickTop="1" x14ac:dyDescent="0.25">
      <c r="A13" s="1"/>
      <c r="B13" s="28"/>
      <c r="C13" s="10" t="s">
        <v>20</v>
      </c>
      <c r="D13" s="4">
        <v>5.3236620116869103E-2</v>
      </c>
      <c r="E13" s="4">
        <v>8.8061841396741294E-2</v>
      </c>
      <c r="F13" s="4">
        <v>0.106131678069161</v>
      </c>
      <c r="G13" s="4">
        <v>0.117599832487799</v>
      </c>
      <c r="H13" s="4">
        <v>0.125810402603758</v>
      </c>
      <c r="I13" s="4">
        <v>0.14489291610065599</v>
      </c>
      <c r="J13" s="4">
        <v>0.13962436709599099</v>
      </c>
      <c r="K13" s="4">
        <v>0.14599260536990599</v>
      </c>
      <c r="L13" s="4">
        <v>0.15532542755971099</v>
      </c>
      <c r="M13" s="4">
        <v>0.15590652947185599</v>
      </c>
      <c r="N13" s="4">
        <v>0.16180696831771399</v>
      </c>
      <c r="O13" s="4">
        <v>0.16886911609720201</v>
      </c>
      <c r="P13" s="4">
        <v>0.17472616148702599</v>
      </c>
      <c r="Q13" s="4">
        <v>0.180680857607352</v>
      </c>
      <c r="R13" s="4">
        <v>0.18248408208413699</v>
      </c>
      <c r="S13" s="4">
        <v>0.18249257966344301</v>
      </c>
      <c r="T13" s="4">
        <v>0.18670249525594601</v>
      </c>
      <c r="U13" s="4">
        <v>0.19369985900046099</v>
      </c>
      <c r="V13" s="4">
        <v>0.19926897074265401</v>
      </c>
      <c r="W13" s="4">
        <v>0.197883605809131</v>
      </c>
      <c r="X13" s="4">
        <v>0.195932238937258</v>
      </c>
      <c r="Y13" s="4">
        <v>0.20024714432417601</v>
      </c>
      <c r="Z13" s="4">
        <v>0.205819289852266</v>
      </c>
      <c r="AA13" s="4">
        <v>0.204444786189901</v>
      </c>
    </row>
    <row r="14" spans="1:28" x14ac:dyDescent="0.25">
      <c r="A14" s="1"/>
      <c r="B14" s="28"/>
      <c r="C14" s="10" t="s">
        <v>21</v>
      </c>
      <c r="D14" s="4">
        <v>5.2990253191698498E-2</v>
      </c>
      <c r="E14" s="4">
        <v>8.7070017352552001E-2</v>
      </c>
      <c r="F14" s="4">
        <v>0.105040451863435</v>
      </c>
      <c r="G14" s="4">
        <v>0.116213967785779</v>
      </c>
      <c r="H14" s="4">
        <v>0.12445477109073</v>
      </c>
      <c r="I14" s="4">
        <v>0.143466506077185</v>
      </c>
      <c r="J14" s="4">
        <v>0.138112266027592</v>
      </c>
      <c r="K14" s="4">
        <v>0.14430376486638399</v>
      </c>
      <c r="L14" s="4">
        <v>0.153394201117066</v>
      </c>
      <c r="M14" s="4">
        <v>0.15366667579320301</v>
      </c>
      <c r="N14" s="4">
        <v>0.159475320629273</v>
      </c>
      <c r="O14" s="4">
        <v>0.166413006165952</v>
      </c>
      <c r="P14" s="4">
        <v>0.172587392102523</v>
      </c>
      <c r="Q14" s="4">
        <v>0.178843714931362</v>
      </c>
      <c r="R14" s="4">
        <v>0.18090053828584701</v>
      </c>
      <c r="S14" s="4">
        <v>0.181092974504451</v>
      </c>
      <c r="T14" s="4">
        <v>0.18538501536993199</v>
      </c>
      <c r="U14" s="4">
        <v>0.192469026841218</v>
      </c>
      <c r="V14" s="4">
        <v>0.19803806666408499</v>
      </c>
      <c r="W14" s="4">
        <v>0.19654473218881899</v>
      </c>
      <c r="X14" s="4">
        <v>0.194518647723187</v>
      </c>
      <c r="Y14" s="4">
        <v>0.19884107003968601</v>
      </c>
      <c r="Z14" s="4">
        <v>0.20446169748264301</v>
      </c>
      <c r="AA14" s="4">
        <v>0.20315341969309</v>
      </c>
    </row>
    <row r="15" spans="1:28" ht="15.75" thickBot="1" x14ac:dyDescent="0.3">
      <c r="A15" s="1"/>
      <c r="B15" s="28"/>
      <c r="C15" s="9" t="s">
        <v>22</v>
      </c>
      <c r="D15" s="13">
        <v>4.7590467189780397E-2</v>
      </c>
      <c r="E15" s="13">
        <v>7.73027124089639E-2</v>
      </c>
      <c r="F15" s="13">
        <v>9.1903300339889707E-2</v>
      </c>
      <c r="G15" s="13">
        <v>0.10304069249167699</v>
      </c>
      <c r="H15" s="13">
        <v>0.111491601661447</v>
      </c>
      <c r="I15" s="13">
        <v>0.13120573464978899</v>
      </c>
      <c r="J15" s="13">
        <v>0.12696166411165499</v>
      </c>
      <c r="K15" s="13">
        <v>0.13308680192877301</v>
      </c>
      <c r="L15" s="13">
        <v>0.141888512226582</v>
      </c>
      <c r="M15" s="13">
        <v>0.14182312066728001</v>
      </c>
      <c r="N15" s="13">
        <v>0.14764353645734801</v>
      </c>
      <c r="O15" s="13">
        <v>0.153996934544465</v>
      </c>
      <c r="P15" s="13">
        <v>0.16113831071823301</v>
      </c>
      <c r="Q15" s="13">
        <v>0.16873027081877801</v>
      </c>
      <c r="R15" s="13">
        <v>0.17176362741701601</v>
      </c>
      <c r="S15" s="13">
        <v>0.17243323398798899</v>
      </c>
      <c r="T15" s="13">
        <v>0.177304937771295</v>
      </c>
      <c r="U15" s="13">
        <v>0.18491015876272901</v>
      </c>
      <c r="V15" s="13">
        <v>0.19068889810968101</v>
      </c>
      <c r="W15" s="13">
        <v>0.18883839316217699</v>
      </c>
      <c r="X15" s="13">
        <v>0.18682073623825299</v>
      </c>
      <c r="Y15" s="13">
        <v>0.191411932042058</v>
      </c>
      <c r="Z15" s="13">
        <v>0.19733395237467199</v>
      </c>
      <c r="AA15" s="13">
        <v>0.19604244271694199</v>
      </c>
    </row>
    <row r="16" spans="1:28" ht="16.5" thickTop="1" thickBot="1" x14ac:dyDescent="0.3">
      <c r="A16" s="1"/>
      <c r="B16" s="28"/>
      <c r="C16" s="3" t="s">
        <v>15</v>
      </c>
      <c r="D16" s="19">
        <v>5.7910008102164401E-2</v>
      </c>
      <c r="E16" s="19">
        <v>5.8386728634136298E-2</v>
      </c>
      <c r="F16" s="19">
        <v>5.7639672664928698E-2</v>
      </c>
      <c r="G16" s="19">
        <v>6.0039166054261899E-2</v>
      </c>
      <c r="H16" s="19">
        <v>6.1497478788086202E-2</v>
      </c>
      <c r="I16" s="19">
        <v>6.2736527496820696E-2</v>
      </c>
      <c r="J16" s="19">
        <v>6.4188989762176005E-2</v>
      </c>
      <c r="K16" s="19">
        <v>6.5595262532103807E-2</v>
      </c>
      <c r="L16" s="19">
        <v>6.8106075019294707E-2</v>
      </c>
      <c r="M16" s="19">
        <v>6.9541643515270299E-2</v>
      </c>
      <c r="N16" s="19">
        <v>7.0930185859377604E-2</v>
      </c>
      <c r="O16" s="19">
        <v>7.0998335330892906E-2</v>
      </c>
      <c r="P16" s="19">
        <v>8.2261158510807605E-2</v>
      </c>
      <c r="Q16" s="19">
        <v>8.2806480054096396E-2</v>
      </c>
      <c r="R16" s="19">
        <v>8.2100125837469104E-2</v>
      </c>
      <c r="S16" s="19">
        <v>8.0298774496969802E-2</v>
      </c>
      <c r="T16" s="19">
        <v>7.8429059341633994E-2</v>
      </c>
      <c r="U16" s="19">
        <v>7.91187349994672E-2</v>
      </c>
      <c r="V16" s="19">
        <v>8.2306150729221594E-2</v>
      </c>
      <c r="W16" s="21">
        <v>8.4692752505553998E-2</v>
      </c>
      <c r="X16" s="21">
        <v>8.6003776743851804E-2</v>
      </c>
      <c r="Y16" s="21">
        <v>8.7053073111654E-2</v>
      </c>
      <c r="Z16" s="21">
        <v>8.5190569132068197E-2</v>
      </c>
      <c r="AA16" s="21">
        <v>8.4307438406463098E-2</v>
      </c>
    </row>
    <row r="17" spans="1:27" ht="16.5" thickTop="1" thickBot="1" x14ac:dyDescent="0.3">
      <c r="A17" s="1"/>
      <c r="B17" s="10"/>
      <c r="C17" s="9" t="s">
        <v>11</v>
      </c>
      <c r="D17" s="13">
        <v>6.2224668814624198E-2</v>
      </c>
      <c r="E17" s="13">
        <v>8.9339059362981296E-2</v>
      </c>
      <c r="F17" s="13">
        <v>9.0448096224944E-2</v>
      </c>
      <c r="G17" s="13">
        <v>9.9120687183148995E-2</v>
      </c>
      <c r="H17" s="13">
        <v>0.10406100957074101</v>
      </c>
      <c r="I17" s="13">
        <v>0.10884773320765299</v>
      </c>
      <c r="J17" s="13">
        <v>0.111294457976599</v>
      </c>
      <c r="K17" s="13">
        <v>0.11326987299767299</v>
      </c>
      <c r="L17" s="13">
        <v>0.112619514681462</v>
      </c>
      <c r="M17" s="13">
        <v>0.117870838126519</v>
      </c>
      <c r="N17" s="13">
        <v>0.124666623351154</v>
      </c>
      <c r="O17" s="13">
        <v>0.12604594538264099</v>
      </c>
      <c r="P17" s="13">
        <v>0.11889583603673599</v>
      </c>
      <c r="Q17" s="13">
        <v>0.13305865928338301</v>
      </c>
      <c r="R17" s="13">
        <v>0.122278850965736</v>
      </c>
      <c r="S17" s="13">
        <v>0.12335275081017399</v>
      </c>
      <c r="T17" s="13">
        <v>0.111838139419125</v>
      </c>
      <c r="U17" s="13">
        <v>0.11262791086889901</v>
      </c>
      <c r="V17" s="13">
        <v>0.126834322506335</v>
      </c>
      <c r="W17" s="11">
        <v>0.12685945523948899</v>
      </c>
      <c r="X17" s="11">
        <v>0.12918962476028001</v>
      </c>
      <c r="Y17" s="11">
        <v>0.13390110181213799</v>
      </c>
      <c r="Z17" s="11">
        <v>0.130166639538254</v>
      </c>
      <c r="AA17" s="11">
        <v>0.12264316909237</v>
      </c>
    </row>
    <row r="18" spans="1:27" ht="16.5" thickTop="1" thickBot="1" x14ac:dyDescent="0.3">
      <c r="A18" s="1"/>
      <c r="B18" s="10"/>
      <c r="C18" s="9" t="s">
        <v>18</v>
      </c>
      <c r="D18" s="13">
        <v>3.6878682274588903E-2</v>
      </c>
      <c r="E18" s="13">
        <v>4.9105826292001303E-2</v>
      </c>
      <c r="F18" s="13">
        <v>6.3440655511921296E-2</v>
      </c>
      <c r="G18" s="13">
        <v>7.7870730205078398E-2</v>
      </c>
      <c r="H18" s="13">
        <v>7.8800845497330699E-2</v>
      </c>
      <c r="I18" s="13">
        <v>8.4398662445417993E-2</v>
      </c>
      <c r="J18" s="13">
        <v>9.6516501128047605E-2</v>
      </c>
      <c r="K18" s="13">
        <v>9.7777127966185998E-2</v>
      </c>
      <c r="L18" s="13">
        <v>0.10596905714546501</v>
      </c>
      <c r="M18" s="13">
        <v>0.114632793671005</v>
      </c>
      <c r="N18" s="13">
        <v>0.12315263132621</v>
      </c>
      <c r="O18" s="13">
        <v>0.125169918095383</v>
      </c>
      <c r="P18" s="13">
        <v>0.13584615271488801</v>
      </c>
      <c r="Q18" s="13">
        <v>0.14163441817450401</v>
      </c>
      <c r="R18" s="13">
        <v>0.14347634846544499</v>
      </c>
      <c r="S18" s="13">
        <v>0.15013324210922299</v>
      </c>
      <c r="T18" s="13">
        <v>0.152216142836512</v>
      </c>
      <c r="U18" s="13">
        <v>0.163255316421554</v>
      </c>
      <c r="V18" s="13">
        <v>0.16941160801152</v>
      </c>
      <c r="W18" s="11">
        <v>0.16523342770296701</v>
      </c>
      <c r="X18" s="11">
        <v>0.17388198044390599</v>
      </c>
      <c r="Y18" s="11">
        <v>0.187283018842724</v>
      </c>
      <c r="Z18" s="11">
        <v>0.19576302602967399</v>
      </c>
      <c r="AA18" s="11">
        <v>0.199968815867584</v>
      </c>
    </row>
    <row r="19" spans="1:27" ht="16.5" thickTop="1" thickBot="1" x14ac:dyDescent="0.3">
      <c r="A19" s="1"/>
      <c r="B19" s="10"/>
      <c r="C19" s="3" t="s">
        <v>23</v>
      </c>
      <c r="D19" s="19">
        <v>8.8199688809591503E-2</v>
      </c>
      <c r="E19" s="19">
        <v>0.11007566834529001</v>
      </c>
      <c r="F19" s="19">
        <v>0.108409354260932</v>
      </c>
      <c r="G19" s="19">
        <v>0.122230846236296</v>
      </c>
      <c r="H19" s="19">
        <v>0.126292536864132</v>
      </c>
      <c r="I19" s="19">
        <v>0.118938228548271</v>
      </c>
      <c r="J19" s="19">
        <v>0.11658777494890001</v>
      </c>
      <c r="K19" s="19">
        <v>0.118479523318056</v>
      </c>
      <c r="L19" s="19">
        <v>0.125993852756042</v>
      </c>
      <c r="M19" s="19">
        <v>0.132508599564887</v>
      </c>
      <c r="N19" s="19">
        <v>0.126140649539212</v>
      </c>
      <c r="O19" s="19">
        <v>0.122993319453577</v>
      </c>
      <c r="P19" s="19">
        <v>0.12921157982251</v>
      </c>
      <c r="Q19" s="19">
        <v>0.135071653637372</v>
      </c>
      <c r="R19" s="19">
        <v>0.133002407762535</v>
      </c>
      <c r="S19" s="19">
        <v>0.125067100239624</v>
      </c>
      <c r="T19" s="19">
        <v>0.131170895721197</v>
      </c>
      <c r="U19" s="19">
        <v>0.12914291209779799</v>
      </c>
      <c r="V19" s="19">
        <v>0.133477111624245</v>
      </c>
      <c r="W19" s="19">
        <v>0.13927654482342799</v>
      </c>
      <c r="X19" s="19">
        <v>0.14320996996572799</v>
      </c>
      <c r="Y19" s="19">
        <v>0.140493237742674</v>
      </c>
      <c r="Z19" s="19">
        <v>0.139487946762099</v>
      </c>
      <c r="AA19" s="19">
        <v>0.13506984191384899</v>
      </c>
    </row>
    <row r="20" spans="1:27" ht="15.75" thickTop="1" x14ac:dyDescent="0.25">
      <c r="A20" s="1"/>
      <c r="B20" s="10"/>
      <c r="C20" s="10" t="s">
        <v>19</v>
      </c>
      <c r="D20" s="4">
        <v>0.101473719289633</v>
      </c>
      <c r="E20" s="4">
        <v>0.103598528488516</v>
      </c>
      <c r="F20" s="4">
        <v>0.102837826719754</v>
      </c>
      <c r="G20" s="4">
        <v>0.105525206440647</v>
      </c>
      <c r="H20" s="4">
        <v>0.106858319932677</v>
      </c>
      <c r="I20" s="4">
        <v>0.10808426246868499</v>
      </c>
      <c r="J20" s="4">
        <v>0.109210260650905</v>
      </c>
      <c r="K20" s="4">
        <v>0.11032025339015999</v>
      </c>
      <c r="L20" s="4">
        <v>0.11220339340667999</v>
      </c>
      <c r="M20" s="4">
        <v>0.112756917783979</v>
      </c>
      <c r="N20" s="4">
        <v>0.114385517947505</v>
      </c>
      <c r="O20" s="4">
        <v>0.114745313943102</v>
      </c>
      <c r="P20" s="4">
        <v>0.135529862100601</v>
      </c>
      <c r="Q20" s="4">
        <v>0.13795407844874399</v>
      </c>
      <c r="R20" s="4">
        <v>0.13729838685337001</v>
      </c>
      <c r="S20" s="4">
        <v>0.13587771317504899</v>
      </c>
      <c r="T20" s="4">
        <v>0.133662076029227</v>
      </c>
      <c r="U20" s="4">
        <v>0.13436451471261801</v>
      </c>
      <c r="V20" s="4">
        <v>0.137438170103897</v>
      </c>
      <c r="W20" s="4">
        <v>0.139652898614329</v>
      </c>
      <c r="X20" s="4">
        <v>0.140037697782564</v>
      </c>
      <c r="Y20" s="4">
        <v>0.14006722734423899</v>
      </c>
      <c r="Z20" s="4">
        <v>0.13850738689516101</v>
      </c>
      <c r="AA20" s="4">
        <v>0.13801343002184099</v>
      </c>
    </row>
    <row r="21" spans="1:27" x14ac:dyDescent="0.25">
      <c r="A21" s="1"/>
      <c r="B21" s="1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thickBot="1" x14ac:dyDescent="0.3">
      <c r="A22" s="1"/>
      <c r="B22" s="1"/>
      <c r="C22" s="9" t="s">
        <v>14</v>
      </c>
      <c r="D22" s="9">
        <v>1</v>
      </c>
      <c r="E22" s="9">
        <v>2</v>
      </c>
      <c r="F22" s="9">
        <v>3</v>
      </c>
      <c r="G22" s="9">
        <v>4</v>
      </c>
      <c r="H22" s="9">
        <v>5</v>
      </c>
      <c r="I22" s="9">
        <v>6</v>
      </c>
      <c r="J22" s="9">
        <v>7</v>
      </c>
      <c r="K22" s="9">
        <v>8</v>
      </c>
      <c r="L22" s="9">
        <v>9</v>
      </c>
      <c r="M22" s="9">
        <v>10</v>
      </c>
      <c r="N22" s="9">
        <v>11</v>
      </c>
      <c r="O22" s="9">
        <v>12</v>
      </c>
      <c r="P22" s="9">
        <v>13</v>
      </c>
      <c r="Q22" s="9">
        <v>14</v>
      </c>
      <c r="R22" s="9">
        <v>15</v>
      </c>
      <c r="S22" s="9">
        <v>16</v>
      </c>
      <c r="T22" s="9">
        <v>17</v>
      </c>
      <c r="U22" s="9">
        <v>18</v>
      </c>
      <c r="V22" s="9">
        <v>19</v>
      </c>
      <c r="W22" s="9">
        <v>20</v>
      </c>
      <c r="X22" s="9">
        <v>21</v>
      </c>
      <c r="Y22" s="9">
        <v>22</v>
      </c>
      <c r="Z22" s="9">
        <v>23</v>
      </c>
      <c r="AA22" s="9">
        <v>24</v>
      </c>
    </row>
    <row r="23" spans="1:27" ht="16.5" thickTop="1" thickBot="1" x14ac:dyDescent="0.3">
      <c r="A23" s="1"/>
      <c r="B23" s="28"/>
      <c r="C23" s="3" t="s">
        <v>17</v>
      </c>
      <c r="D23" s="19">
        <v>0.187929592988343</v>
      </c>
      <c r="E23" s="19">
        <v>0.327448559639193</v>
      </c>
      <c r="F23" s="19">
        <v>0.41903066016315099</v>
      </c>
      <c r="G23" s="19">
        <v>0.46684456841369598</v>
      </c>
      <c r="H23" s="19">
        <v>0.52134214757340303</v>
      </c>
      <c r="I23" s="19">
        <v>0.56855945873508695</v>
      </c>
      <c r="J23" s="19">
        <v>0.60297585593011405</v>
      </c>
      <c r="K23" s="19">
        <v>0.64394422879586699</v>
      </c>
      <c r="L23" s="19">
        <v>0.69762168637217803</v>
      </c>
      <c r="M23" s="19">
        <v>0.73488176562039098</v>
      </c>
      <c r="N23" s="19">
        <v>0.77156946204213195</v>
      </c>
      <c r="O23" s="19">
        <v>0.80139018909743298</v>
      </c>
      <c r="P23" s="19">
        <v>0.82316137236174203</v>
      </c>
      <c r="Q23" s="19">
        <v>0.86279273956550295</v>
      </c>
      <c r="R23" s="19">
        <v>0.88496370371481003</v>
      </c>
      <c r="S23" s="19">
        <v>0.90781591723344401</v>
      </c>
      <c r="T23" s="19">
        <v>0.92174946281805104</v>
      </c>
      <c r="U23" s="19">
        <v>0.93864064644011802</v>
      </c>
      <c r="V23" s="19">
        <v>0.963111958760415</v>
      </c>
      <c r="W23" s="19">
        <v>0.99846209306717904</v>
      </c>
      <c r="X23" s="19">
        <v>1.0407781931138</v>
      </c>
      <c r="Y23" s="19">
        <v>1.06943773350927</v>
      </c>
      <c r="Z23" s="19">
        <v>1.0822126414008799</v>
      </c>
      <c r="AA23" s="19">
        <v>1.0821448658012101</v>
      </c>
    </row>
    <row r="24" spans="1:27" ht="15.75" thickTop="1" x14ac:dyDescent="0.25">
      <c r="A24" s="1"/>
      <c r="B24" s="28"/>
      <c r="C24" s="10" t="s">
        <v>4</v>
      </c>
      <c r="D24" s="4">
        <v>0.21291930531440501</v>
      </c>
      <c r="E24" s="4">
        <v>0.331174333497816</v>
      </c>
      <c r="F24" s="4">
        <v>0.42455352703657101</v>
      </c>
      <c r="G24" s="4">
        <v>0.46735060848596199</v>
      </c>
      <c r="H24" s="4">
        <v>0.48317273444298597</v>
      </c>
      <c r="I24" s="4">
        <v>0.49595267950309602</v>
      </c>
      <c r="J24" s="4">
        <v>0.51125737916596603</v>
      </c>
      <c r="K24" s="4">
        <v>0.52454076184481302</v>
      </c>
      <c r="L24" s="4">
        <v>0.50803786749229596</v>
      </c>
      <c r="M24" s="4">
        <v>0.52129387868643895</v>
      </c>
      <c r="N24" s="4">
        <v>0.51744152220976203</v>
      </c>
      <c r="O24" s="4">
        <v>0.52570243730803301</v>
      </c>
      <c r="P24" s="4">
        <v>0.57143916380111004</v>
      </c>
      <c r="Q24" s="4">
        <v>0.56680563099113601</v>
      </c>
      <c r="R24" s="4">
        <v>0.58267096695047405</v>
      </c>
      <c r="S24" s="4">
        <v>0.55874631889034099</v>
      </c>
      <c r="T24" s="4">
        <v>0.55734355151332104</v>
      </c>
      <c r="U24" s="4">
        <v>0.57253788038836495</v>
      </c>
      <c r="V24" s="4">
        <v>0.59394463926966901</v>
      </c>
      <c r="W24" s="4">
        <v>0.60104516376418105</v>
      </c>
      <c r="X24" s="4">
        <v>0.58354121345019705</v>
      </c>
      <c r="Y24" s="4">
        <v>0.574705755903691</v>
      </c>
      <c r="Z24" s="4">
        <v>0.57619453374370699</v>
      </c>
      <c r="AA24" s="4">
        <v>0.58506533976198605</v>
      </c>
    </row>
    <row r="25" spans="1:27" x14ac:dyDescent="0.25">
      <c r="A25" s="1"/>
      <c r="B25" s="28"/>
      <c r="C25" s="10" t="s">
        <v>5</v>
      </c>
      <c r="D25" s="4">
        <v>0.19034723164858999</v>
      </c>
      <c r="E25" s="4">
        <v>0.28752446834345802</v>
      </c>
      <c r="F25" s="4">
        <v>0.35627559264192998</v>
      </c>
      <c r="G25" s="4">
        <v>0.40468738924917302</v>
      </c>
      <c r="H25" s="4">
        <v>0.43714308934395002</v>
      </c>
      <c r="I25" s="4">
        <v>0.46670777624798698</v>
      </c>
      <c r="J25" s="4">
        <v>0.49286498734349599</v>
      </c>
      <c r="K25" s="4">
        <v>0.50931825684564702</v>
      </c>
      <c r="L25" s="4">
        <v>0.51819047987840305</v>
      </c>
      <c r="M25" s="4">
        <v>0.53583872610843297</v>
      </c>
      <c r="N25" s="4">
        <v>0.55837099695512404</v>
      </c>
      <c r="O25" s="4">
        <v>0.580738991079641</v>
      </c>
      <c r="P25" s="4">
        <v>0.65096064140004495</v>
      </c>
      <c r="Q25" s="4">
        <v>0.66582687576202004</v>
      </c>
      <c r="R25" s="4">
        <v>0.68773541130772098</v>
      </c>
      <c r="S25" s="4">
        <v>0.67106030902408798</v>
      </c>
      <c r="T25" s="4">
        <v>0.68141187010842796</v>
      </c>
      <c r="U25" s="4">
        <v>0.70316653730756395</v>
      </c>
      <c r="V25" s="4">
        <v>0.72275187251112405</v>
      </c>
      <c r="W25" s="4">
        <v>0.74062323092648097</v>
      </c>
      <c r="X25" s="4">
        <v>0.73493836732578699</v>
      </c>
      <c r="Y25" s="4">
        <v>0.74119621101543698</v>
      </c>
      <c r="Z25" s="4">
        <v>0.75795344621723304</v>
      </c>
      <c r="AA25" s="4">
        <v>0.76720608054665995</v>
      </c>
    </row>
    <row r="26" spans="1:27" x14ac:dyDescent="0.25">
      <c r="A26" s="1"/>
      <c r="B26" s="28"/>
      <c r="C26" s="10" t="s">
        <v>6</v>
      </c>
      <c r="D26" s="4">
        <v>0.18464676252343201</v>
      </c>
      <c r="E26" s="4">
        <v>0.29307847959869698</v>
      </c>
      <c r="F26" s="4">
        <v>0.36555560230432699</v>
      </c>
      <c r="G26" s="4">
        <v>0.404821279748383</v>
      </c>
      <c r="H26" s="4">
        <v>0.43815611964645701</v>
      </c>
      <c r="I26" s="4">
        <v>0.480125602333621</v>
      </c>
      <c r="J26" s="4">
        <v>0.50200234722941395</v>
      </c>
      <c r="K26" s="4">
        <v>0.52127102209772602</v>
      </c>
      <c r="L26" s="4">
        <v>0.53545655922561297</v>
      </c>
      <c r="M26" s="4">
        <v>0.54852261216228404</v>
      </c>
      <c r="N26" s="4">
        <v>0.57370503110975601</v>
      </c>
      <c r="O26" s="4">
        <v>0.60322392024076099</v>
      </c>
      <c r="P26" s="4">
        <v>0.65912009317751596</v>
      </c>
      <c r="Q26" s="4">
        <v>0.68618022185465699</v>
      </c>
      <c r="R26" s="4">
        <v>0.71180018998796302</v>
      </c>
      <c r="S26" s="4">
        <v>0.69988553691976396</v>
      </c>
      <c r="T26" s="4">
        <v>0.71737378194864299</v>
      </c>
      <c r="U26" s="4">
        <v>0.75394222298005797</v>
      </c>
      <c r="V26" s="4">
        <v>0.784987541969144</v>
      </c>
      <c r="W26" s="4">
        <v>0.81093797158071901</v>
      </c>
      <c r="X26" s="4">
        <v>0.80439828322320694</v>
      </c>
      <c r="Y26" s="4">
        <v>0.80914655461084595</v>
      </c>
      <c r="Z26" s="4">
        <v>0.83374382901104505</v>
      </c>
      <c r="AA26" s="4">
        <v>0.84837511215140504</v>
      </c>
    </row>
    <row r="27" spans="1:27" x14ac:dyDescent="0.25">
      <c r="A27" s="1"/>
      <c r="B27" s="28"/>
      <c r="C27" s="10" t="s">
        <v>7</v>
      </c>
      <c r="D27" s="4">
        <v>0.159197773064015</v>
      </c>
      <c r="E27" s="4">
        <v>0.269119238982927</v>
      </c>
      <c r="F27" s="4">
        <v>0.33988754114257602</v>
      </c>
      <c r="G27" s="4">
        <v>0.38603279323234901</v>
      </c>
      <c r="H27" s="4">
        <v>0.42913016570908102</v>
      </c>
      <c r="I27" s="4">
        <v>0.47357724816251501</v>
      </c>
      <c r="J27" s="4">
        <v>0.49738455996714498</v>
      </c>
      <c r="K27" s="4">
        <v>0.51679578722536301</v>
      </c>
      <c r="L27" s="4">
        <v>0.52929994619514398</v>
      </c>
      <c r="M27" s="4">
        <v>0.541633629688961</v>
      </c>
      <c r="N27" s="4">
        <v>0.56629232071443103</v>
      </c>
      <c r="O27" s="4">
        <v>0.60045934932591805</v>
      </c>
      <c r="P27" s="4">
        <v>0.659772033842007</v>
      </c>
      <c r="Q27" s="4">
        <v>0.69217884549039599</v>
      </c>
      <c r="R27" s="4">
        <v>0.714964519501877</v>
      </c>
      <c r="S27" s="4">
        <v>0.69965193065637199</v>
      </c>
      <c r="T27" s="4">
        <v>0.71770380918715204</v>
      </c>
      <c r="U27" s="4">
        <v>0.75149188224895003</v>
      </c>
      <c r="V27" s="4">
        <v>0.78186700580389001</v>
      </c>
      <c r="W27" s="4">
        <v>0.80485061753446197</v>
      </c>
      <c r="X27" s="4">
        <v>0.79446841297290705</v>
      </c>
      <c r="Y27" s="4">
        <v>0.79966192355215304</v>
      </c>
      <c r="Z27" s="4">
        <v>0.82395922082308704</v>
      </c>
      <c r="AA27" s="4">
        <v>0.83857114454933401</v>
      </c>
    </row>
    <row r="28" spans="1:27" x14ac:dyDescent="0.25">
      <c r="A28" s="1"/>
      <c r="B28" s="28"/>
      <c r="C28" s="10" t="s">
        <v>8</v>
      </c>
      <c r="D28" s="4">
        <v>0.17291109433974799</v>
      </c>
      <c r="E28" s="4">
        <v>0.29590226025015398</v>
      </c>
      <c r="F28" s="4">
        <v>0.37022927433095998</v>
      </c>
      <c r="G28" s="4">
        <v>0.41530538116017901</v>
      </c>
      <c r="H28" s="4">
        <v>0.45631554297239402</v>
      </c>
      <c r="I28" s="4">
        <v>0.50140210498415705</v>
      </c>
      <c r="J28" s="4">
        <v>0.52792305669185502</v>
      </c>
      <c r="K28" s="4">
        <v>0.54797459529833303</v>
      </c>
      <c r="L28" s="4">
        <v>0.56099404049863399</v>
      </c>
      <c r="M28" s="4">
        <v>0.57226251655654303</v>
      </c>
      <c r="N28" s="4">
        <v>0.59624595241936396</v>
      </c>
      <c r="O28" s="4">
        <v>0.62569379921254198</v>
      </c>
      <c r="P28" s="4">
        <v>0.67887676188788804</v>
      </c>
      <c r="Q28" s="4">
        <v>0.71318005155382103</v>
      </c>
      <c r="R28" s="4">
        <v>0.73996565517245605</v>
      </c>
      <c r="S28" s="4">
        <v>0.72605950774436001</v>
      </c>
      <c r="T28" s="4">
        <v>0.74404292237296799</v>
      </c>
      <c r="U28" s="4">
        <v>0.77731956248869505</v>
      </c>
      <c r="V28" s="4">
        <v>0.80692794056292605</v>
      </c>
      <c r="W28" s="4">
        <v>0.82939755124223102</v>
      </c>
      <c r="X28" s="4">
        <v>0.81939337798484702</v>
      </c>
      <c r="Y28" s="4">
        <v>0.82514284448634201</v>
      </c>
      <c r="Z28" s="4">
        <v>0.84906416627259196</v>
      </c>
      <c r="AA28" s="4">
        <v>0.86314388070772496</v>
      </c>
    </row>
    <row r="29" spans="1:27" x14ac:dyDescent="0.25">
      <c r="A29" s="1"/>
      <c r="B29" s="28"/>
      <c r="C29" s="10" t="s">
        <v>9</v>
      </c>
      <c r="D29" s="4">
        <v>0.194175906811801</v>
      </c>
      <c r="E29" s="4">
        <v>0.33299395653838498</v>
      </c>
      <c r="F29" s="4">
        <v>0.41346514554290897</v>
      </c>
      <c r="G29" s="4">
        <v>0.4668678599685</v>
      </c>
      <c r="H29" s="4">
        <v>0.52121475299386799</v>
      </c>
      <c r="I29" s="4">
        <v>0.57498882164852605</v>
      </c>
      <c r="J29" s="4">
        <v>0.60678653375606695</v>
      </c>
      <c r="K29" s="4">
        <v>0.63099458305464096</v>
      </c>
      <c r="L29" s="4">
        <v>0.64834236798309297</v>
      </c>
      <c r="M29" s="4">
        <v>0.66469269586829605</v>
      </c>
      <c r="N29" s="4">
        <v>0.69032103021665203</v>
      </c>
      <c r="O29" s="4">
        <v>0.72446945670953</v>
      </c>
      <c r="P29" s="4">
        <v>0.78712212474434795</v>
      </c>
      <c r="Q29" s="4">
        <v>0.82383105597436901</v>
      </c>
      <c r="R29" s="4">
        <v>0.85176134287156002</v>
      </c>
      <c r="S29" s="4">
        <v>0.83950624509354599</v>
      </c>
      <c r="T29" s="4">
        <v>0.85725249569724504</v>
      </c>
      <c r="U29" s="4">
        <v>0.88949966867971297</v>
      </c>
      <c r="V29" s="4">
        <v>0.91943525536808601</v>
      </c>
      <c r="W29" s="4">
        <v>0.94345848710485403</v>
      </c>
      <c r="X29" s="4">
        <v>0.93479179168396798</v>
      </c>
      <c r="Y29" s="4">
        <v>0.94279425141529705</v>
      </c>
      <c r="Z29" s="4">
        <v>0.96871203534498895</v>
      </c>
      <c r="AA29" s="4">
        <v>0.98365476540660501</v>
      </c>
    </row>
    <row r="30" spans="1:27" ht="15.75" thickBot="1" x14ac:dyDescent="0.3">
      <c r="A30" s="1"/>
      <c r="B30" s="28"/>
      <c r="C30" s="9" t="s">
        <v>10</v>
      </c>
      <c r="D30" s="13">
        <v>0.177856960550103</v>
      </c>
      <c r="E30" s="13">
        <v>0.31093434861752201</v>
      </c>
      <c r="F30" s="13">
        <v>0.40058514049399901</v>
      </c>
      <c r="G30" s="13">
        <v>0.45959914726664203</v>
      </c>
      <c r="H30" s="13">
        <v>0.51842493175801296</v>
      </c>
      <c r="I30" s="13">
        <v>0.57406717254341999</v>
      </c>
      <c r="J30" s="13">
        <v>0.60905639492019104</v>
      </c>
      <c r="K30" s="13">
        <v>0.63742660052621003</v>
      </c>
      <c r="L30" s="13">
        <v>0.65729444291936301</v>
      </c>
      <c r="M30" s="13">
        <v>0.67499731872514002</v>
      </c>
      <c r="N30" s="13">
        <v>0.70172315671130803</v>
      </c>
      <c r="O30" s="13">
        <v>0.73841951766731295</v>
      </c>
      <c r="P30" s="13">
        <v>0.79075648534828102</v>
      </c>
      <c r="Q30" s="13">
        <v>0.83300100539756805</v>
      </c>
      <c r="R30" s="13">
        <v>0.86203822180040901</v>
      </c>
      <c r="S30" s="13">
        <v>0.84987870503887497</v>
      </c>
      <c r="T30" s="13">
        <v>0.87152030916035705</v>
      </c>
      <c r="U30" s="13">
        <v>0.90536951504354801</v>
      </c>
      <c r="V30" s="13">
        <v>0.93610874741323702</v>
      </c>
      <c r="W30" s="13">
        <v>0.96380729604160198</v>
      </c>
      <c r="X30" s="13">
        <v>0.95692770695662299</v>
      </c>
      <c r="Y30" s="13">
        <v>0.96560421789238404</v>
      </c>
      <c r="Z30" s="13">
        <v>0.99142869354080498</v>
      </c>
      <c r="AA30" s="13">
        <v>1.0058284636017101</v>
      </c>
    </row>
    <row r="31" spans="1:27" ht="15.75" thickTop="1" x14ac:dyDescent="0.25">
      <c r="A31" s="1"/>
      <c r="B31" s="28"/>
      <c r="C31" s="25" t="s">
        <v>20</v>
      </c>
      <c r="D31" s="4">
        <v>0.18068572538538299</v>
      </c>
      <c r="E31" s="4">
        <v>0.31802944137790601</v>
      </c>
      <c r="F31" s="4">
        <v>0.41428462349119199</v>
      </c>
      <c r="G31" s="4">
        <v>0.47741272368116999</v>
      </c>
      <c r="H31" s="4">
        <v>0.53918458341873898</v>
      </c>
      <c r="I31" s="4">
        <v>0.59500427360180697</v>
      </c>
      <c r="J31" s="4">
        <v>0.62914945969041103</v>
      </c>
      <c r="K31" s="4">
        <v>0.65775860772945705</v>
      </c>
      <c r="L31" s="4">
        <v>0.67781361155293296</v>
      </c>
      <c r="M31" s="4">
        <v>0.69688374250279606</v>
      </c>
      <c r="N31" s="4">
        <v>0.72406162039010002</v>
      </c>
      <c r="O31" s="4">
        <v>0.76038702700176097</v>
      </c>
      <c r="P31" s="4">
        <v>0.81315405864384505</v>
      </c>
      <c r="Q31" s="4">
        <v>0.85438021635821304</v>
      </c>
      <c r="R31" s="4">
        <v>0.88388705510903898</v>
      </c>
      <c r="S31" s="4">
        <v>0.87210392625243305</v>
      </c>
      <c r="T31" s="4">
        <v>0.89290594656275901</v>
      </c>
      <c r="U31" s="4">
        <v>0.92533434752993304</v>
      </c>
      <c r="V31" s="4">
        <v>0.95567463627441895</v>
      </c>
      <c r="W31" s="4">
        <v>0.98322830789029703</v>
      </c>
      <c r="X31" s="4">
        <v>0.97686281279197995</v>
      </c>
      <c r="Y31" s="4">
        <v>0.986268931080725</v>
      </c>
      <c r="Z31" s="4">
        <v>1.01246523464508</v>
      </c>
      <c r="AA31" s="4">
        <v>1.02688649613218</v>
      </c>
    </row>
    <row r="32" spans="1:27" x14ac:dyDescent="0.25">
      <c r="A32" s="1"/>
      <c r="B32" s="28"/>
      <c r="C32" s="25" t="s">
        <v>21</v>
      </c>
      <c r="D32" s="4">
        <v>0.17561295971318899</v>
      </c>
      <c r="E32" s="4">
        <v>0.30888805495312499</v>
      </c>
      <c r="F32" s="4">
        <v>0.401672862824212</v>
      </c>
      <c r="G32" s="4">
        <v>0.46263666662202502</v>
      </c>
      <c r="H32" s="4">
        <v>0.52233170462641498</v>
      </c>
      <c r="I32" s="4">
        <v>0.57635442324694397</v>
      </c>
      <c r="J32" s="4">
        <v>0.60874384597803499</v>
      </c>
      <c r="K32" s="4">
        <v>0.63533307186694299</v>
      </c>
      <c r="L32" s="4">
        <v>0.65367567150954498</v>
      </c>
      <c r="M32" s="4">
        <v>0.67153770294364001</v>
      </c>
      <c r="N32" s="4">
        <v>0.69750995588333498</v>
      </c>
      <c r="O32" s="4">
        <v>0.73289690512084205</v>
      </c>
      <c r="P32" s="4">
        <v>0.78641897873998101</v>
      </c>
      <c r="Q32" s="4">
        <v>0.82750457526267895</v>
      </c>
      <c r="R32" s="4">
        <v>0.85712000886974404</v>
      </c>
      <c r="S32" s="4">
        <v>0.84528391672209102</v>
      </c>
      <c r="T32" s="4">
        <v>0.86600131595844698</v>
      </c>
      <c r="U32" s="4">
        <v>0.89826154466671004</v>
      </c>
      <c r="V32" s="4">
        <v>0.92853750595880302</v>
      </c>
      <c r="W32" s="4">
        <v>0.95582488166393698</v>
      </c>
      <c r="X32" s="4">
        <v>0.94893427247450302</v>
      </c>
      <c r="Y32" s="4">
        <v>0.95806943427734603</v>
      </c>
      <c r="Z32" s="4">
        <v>0.98426906804209002</v>
      </c>
      <c r="AA32" s="4">
        <v>0.99832834312200702</v>
      </c>
    </row>
    <row r="33" spans="1:27" ht="15.75" thickBot="1" x14ac:dyDescent="0.3">
      <c r="A33" s="1"/>
      <c r="B33" s="28"/>
      <c r="C33" s="9" t="s">
        <v>22</v>
      </c>
      <c r="D33" s="13">
        <v>0.158775192703038</v>
      </c>
      <c r="E33" s="13">
        <v>0.27871465376795901</v>
      </c>
      <c r="F33" s="13">
        <v>0.35835630040226002</v>
      </c>
      <c r="G33" s="13">
        <v>0.41127600328543101</v>
      </c>
      <c r="H33" s="13">
        <v>0.46330705322829102</v>
      </c>
      <c r="I33" s="13">
        <v>0.51057047363260499</v>
      </c>
      <c r="J33" s="13">
        <v>0.53755386514392101</v>
      </c>
      <c r="K33" s="13">
        <v>0.55803982775734695</v>
      </c>
      <c r="L33" s="13">
        <v>0.57128589302134103</v>
      </c>
      <c r="M33" s="13">
        <v>0.58465090258742602</v>
      </c>
      <c r="N33" s="13">
        <v>0.60692917645292199</v>
      </c>
      <c r="O33" s="13">
        <v>0.63924802993961305</v>
      </c>
      <c r="P33" s="13">
        <v>0.69428733532210196</v>
      </c>
      <c r="Q33" s="13">
        <v>0.73354416194625705</v>
      </c>
      <c r="R33" s="13">
        <v>0.76343904353443703</v>
      </c>
      <c r="S33" s="13">
        <v>0.75226596102999399</v>
      </c>
      <c r="T33" s="13">
        <v>0.77366440448629104</v>
      </c>
      <c r="U33" s="13">
        <v>0.80701868934441201</v>
      </c>
      <c r="V33" s="13">
        <v>0.83755506196099005</v>
      </c>
      <c r="W33" s="13">
        <v>0.86429752037243701</v>
      </c>
      <c r="X33" s="13">
        <v>0.85575520755506795</v>
      </c>
      <c r="Y33" s="13">
        <v>0.86353325146390503</v>
      </c>
      <c r="Z33" s="13">
        <v>0.88885368672702303</v>
      </c>
      <c r="AA33" s="13">
        <v>0.90128878134605095</v>
      </c>
    </row>
    <row r="34" spans="1:27" ht="16.5" thickTop="1" thickBot="1" x14ac:dyDescent="0.3">
      <c r="A34" s="1"/>
      <c r="B34" s="1"/>
      <c r="C34" s="3" t="s">
        <v>15</v>
      </c>
      <c r="D34" s="19">
        <v>0.16744289785228</v>
      </c>
      <c r="E34" s="19">
        <v>0.16987260543897401</v>
      </c>
      <c r="F34" s="19">
        <v>0.173426516759035</v>
      </c>
      <c r="G34" s="19">
        <v>0.17654975343790399</v>
      </c>
      <c r="H34" s="19">
        <v>0.18053026278723799</v>
      </c>
      <c r="I34" s="19">
        <v>0.18391567041672499</v>
      </c>
      <c r="J34" s="19">
        <v>0.18616184653506099</v>
      </c>
      <c r="K34" s="19">
        <v>0.188772376573864</v>
      </c>
      <c r="L34" s="19">
        <v>0.19091966231705701</v>
      </c>
      <c r="M34" s="19">
        <v>0.19266753271908901</v>
      </c>
      <c r="N34" s="19">
        <v>0.19461953134492099</v>
      </c>
      <c r="O34" s="19">
        <v>0.19376240675074</v>
      </c>
      <c r="P34" s="19">
        <v>0.188539558827131</v>
      </c>
      <c r="Q34" s="19">
        <v>0.19253844379517401</v>
      </c>
      <c r="R34" s="19">
        <v>0.19819107289784799</v>
      </c>
      <c r="S34" s="19">
        <v>0.198028858352752</v>
      </c>
      <c r="T34" s="19">
        <v>0.197093015964312</v>
      </c>
      <c r="U34" s="19">
        <v>0.19821206385951001</v>
      </c>
      <c r="V34" s="19">
        <v>0.20063687377165801</v>
      </c>
      <c r="W34" s="19">
        <v>0.20273483772566001</v>
      </c>
      <c r="X34" s="19">
        <v>0.20468705483622299</v>
      </c>
      <c r="Y34" s="19">
        <v>0.20594328481176399</v>
      </c>
      <c r="Z34" s="19">
        <v>0.20397686837638801</v>
      </c>
      <c r="AA34" s="19">
        <v>0.20416500900154499</v>
      </c>
    </row>
    <row r="35" spans="1:27" ht="16.5" thickTop="1" thickBot="1" x14ac:dyDescent="0.3">
      <c r="A35" s="7"/>
      <c r="B35" s="7"/>
      <c r="C35" s="9" t="s">
        <v>11</v>
      </c>
      <c r="D35" s="13">
        <v>0.14125522948864999</v>
      </c>
      <c r="E35" s="13">
        <v>0.229650761813981</v>
      </c>
      <c r="F35" s="13">
        <v>0.25376843296406099</v>
      </c>
      <c r="G35" s="13">
        <v>0.249440526002012</v>
      </c>
      <c r="H35" s="13">
        <v>0.26298414238449602</v>
      </c>
      <c r="I35" s="13">
        <v>0.28137872018071902</v>
      </c>
      <c r="J35" s="13">
        <v>0.28305163159467001</v>
      </c>
      <c r="K35" s="13">
        <v>0.29233543017048402</v>
      </c>
      <c r="L35" s="13">
        <v>0.27761976707744301</v>
      </c>
      <c r="M35" s="13">
        <v>0.29530788734478702</v>
      </c>
      <c r="N35" s="13">
        <v>0.30221288453992901</v>
      </c>
      <c r="O35" s="13">
        <v>0.29207614851283098</v>
      </c>
      <c r="P35" s="13">
        <v>0.27646440864087302</v>
      </c>
      <c r="Q35" s="13">
        <v>0.30025703902484502</v>
      </c>
      <c r="R35" s="13">
        <v>0.32857143039639902</v>
      </c>
      <c r="S35" s="13">
        <v>0.31683264298889402</v>
      </c>
      <c r="T35" s="13">
        <v>0.309563576978866</v>
      </c>
      <c r="U35" s="13">
        <v>0.321043473567731</v>
      </c>
      <c r="V35" s="13">
        <v>0.32637527635337599</v>
      </c>
      <c r="W35" s="13">
        <v>0.33255563930995202</v>
      </c>
      <c r="X35" s="13">
        <v>0.32455673844788702</v>
      </c>
      <c r="Y35" s="13">
        <v>0.34054247228024098</v>
      </c>
      <c r="Z35" s="13">
        <v>0.34853777377322898</v>
      </c>
      <c r="AA35" s="13">
        <v>0.36173156815019097</v>
      </c>
    </row>
    <row r="36" spans="1:27" ht="16.5" thickTop="1" thickBot="1" x14ac:dyDescent="0.3">
      <c r="A36" s="7"/>
      <c r="B36" s="7"/>
      <c r="C36" s="9" t="s">
        <v>18</v>
      </c>
      <c r="D36" s="13">
        <v>0.104002740183187</v>
      </c>
      <c r="E36" s="13">
        <v>0.18190817056508399</v>
      </c>
      <c r="F36" s="13">
        <v>0.23023895967116301</v>
      </c>
      <c r="G36" s="13">
        <v>0.26878726218064503</v>
      </c>
      <c r="H36" s="13">
        <v>0.30605994280256099</v>
      </c>
      <c r="I36" s="13">
        <v>0.336026255969327</v>
      </c>
      <c r="J36" s="13">
        <v>0.38382010771109298</v>
      </c>
      <c r="K36" s="13">
        <v>0.40173919491926002</v>
      </c>
      <c r="L36" s="13">
        <v>0.45932257616725902</v>
      </c>
      <c r="M36" s="13">
        <v>0.524192171351342</v>
      </c>
      <c r="N36" s="13">
        <v>0.59309154633813199</v>
      </c>
      <c r="O36" s="13">
        <v>0.620649393489484</v>
      </c>
      <c r="P36" s="13">
        <v>0.70353227471878399</v>
      </c>
      <c r="Q36" s="13">
        <v>0.73435080669484298</v>
      </c>
      <c r="R36" s="13">
        <v>0.78352870443064504</v>
      </c>
      <c r="S36" s="13">
        <v>0.81249738380173298</v>
      </c>
      <c r="T36" s="13">
        <v>0.86248598567898804</v>
      </c>
      <c r="U36" s="13">
        <v>0.91130662230460602</v>
      </c>
      <c r="V36" s="13">
        <v>0.96520791876033096</v>
      </c>
      <c r="W36" s="13">
        <v>0.98783643551780898</v>
      </c>
      <c r="X36" s="13">
        <v>1.0820669109202199</v>
      </c>
      <c r="Y36" s="13">
        <v>1.1308194372201501</v>
      </c>
      <c r="Z36" s="13">
        <v>1.1887926061331899</v>
      </c>
      <c r="AA36" s="13">
        <v>1.24425819252528</v>
      </c>
    </row>
    <row r="37" spans="1:27" ht="16.5" thickTop="1" thickBot="1" x14ac:dyDescent="0.3">
      <c r="A37" s="7"/>
      <c r="B37" s="7"/>
      <c r="C37" s="3" t="s">
        <v>23</v>
      </c>
      <c r="D37" s="19">
        <v>0.23472109340911099</v>
      </c>
      <c r="E37" s="19">
        <v>0.32212548664477197</v>
      </c>
      <c r="F37" s="19">
        <v>0.31296022911565602</v>
      </c>
      <c r="G37" s="19">
        <v>0.30870541448040201</v>
      </c>
      <c r="H37" s="19">
        <v>0.30252893139069797</v>
      </c>
      <c r="I37" s="19">
        <v>0.28663210870480599</v>
      </c>
      <c r="J37" s="19">
        <v>0.29521984106928101</v>
      </c>
      <c r="K37" s="19">
        <v>0.29298674002248098</v>
      </c>
      <c r="L37" s="19">
        <v>0.28913185415051401</v>
      </c>
      <c r="M37" s="19">
        <v>0.28781848405634403</v>
      </c>
      <c r="N37" s="19">
        <v>0.28663619860432199</v>
      </c>
      <c r="O37" s="19">
        <v>0.30487004125519501</v>
      </c>
      <c r="P37" s="19">
        <v>0.328860429142942</v>
      </c>
      <c r="Q37" s="19">
        <v>0.350222455226114</v>
      </c>
      <c r="R37" s="19">
        <v>0.35907866874959699</v>
      </c>
      <c r="S37" s="19">
        <v>0.31633489214381699</v>
      </c>
      <c r="T37" s="19">
        <v>0.294451135736914</v>
      </c>
      <c r="U37" s="19">
        <v>0.30842223673028102</v>
      </c>
      <c r="V37" s="19">
        <v>0.31191659902263502</v>
      </c>
      <c r="W37" s="19">
        <v>0.29736480025803003</v>
      </c>
      <c r="X37" s="19">
        <v>0.30262225130788301</v>
      </c>
      <c r="Y37" s="19">
        <v>0.28948704258404101</v>
      </c>
      <c r="Z37" s="19">
        <v>0.33213769981549701</v>
      </c>
      <c r="AA37" s="19">
        <v>0.306593140594969</v>
      </c>
    </row>
    <row r="38" spans="1:27" ht="15.75" thickTop="1" x14ac:dyDescent="0.25">
      <c r="C38" s="20" t="s">
        <v>19</v>
      </c>
      <c r="D38" s="4">
        <v>0.214311773465231</v>
      </c>
      <c r="E38" s="4">
        <v>0.21575420586820601</v>
      </c>
      <c r="F38" s="4">
        <v>0.21567903768073801</v>
      </c>
      <c r="G38" s="4">
        <v>0.217553789227764</v>
      </c>
      <c r="H38" s="4">
        <v>0.21986263230953901</v>
      </c>
      <c r="I38" s="4">
        <v>0.221274658101729</v>
      </c>
      <c r="J38" s="4">
        <v>0.222404151429278</v>
      </c>
      <c r="K38" s="4">
        <v>0.224098378819336</v>
      </c>
      <c r="L38" s="4">
        <v>0.22424407869124999</v>
      </c>
      <c r="M38" s="4">
        <v>0.22559456617836701</v>
      </c>
      <c r="N38" s="4">
        <v>0.22776607836059401</v>
      </c>
      <c r="O38" s="4">
        <v>0.227131413813498</v>
      </c>
      <c r="P38" s="4">
        <v>0.28799219837599299</v>
      </c>
      <c r="Q38" s="4">
        <v>0.29160121557302099</v>
      </c>
      <c r="R38" s="4">
        <v>0.29537175565478102</v>
      </c>
      <c r="S38" s="4">
        <v>0.29294081720549497</v>
      </c>
      <c r="T38" s="4">
        <v>0.28763671612014202</v>
      </c>
      <c r="U38" s="4">
        <v>0.28557138835694001</v>
      </c>
      <c r="V38" s="4">
        <v>0.28710932037634301</v>
      </c>
      <c r="W38" s="4">
        <v>0.288381445722803</v>
      </c>
      <c r="X38" s="4">
        <v>0.28833139511070499</v>
      </c>
      <c r="Y38" s="4">
        <v>0.28944328732038499</v>
      </c>
      <c r="Z38" s="4">
        <v>0.28808194336695597</v>
      </c>
      <c r="AA38" s="4">
        <v>0.28888398964897899</v>
      </c>
    </row>
    <row r="39" spans="1:27" x14ac:dyDescent="0.25">
      <c r="C39" s="5"/>
    </row>
    <row r="40" spans="1:27" ht="18.75" x14ac:dyDescent="0.25">
      <c r="C40" s="8" t="s">
        <v>16</v>
      </c>
    </row>
    <row r="41" spans="1:27" x14ac:dyDescent="0.25">
      <c r="C41" s="5"/>
    </row>
    <row r="42" spans="1:27" x14ac:dyDescent="0.25">
      <c r="C42" s="1"/>
      <c r="D42" s="28" t="s">
        <v>13</v>
      </c>
      <c r="E42" s="28"/>
      <c r="F42" s="28"/>
      <c r="G42" s="28"/>
      <c r="H42" s="29"/>
      <c r="I42" s="6"/>
      <c r="N42" s="28" t="s">
        <v>14</v>
      </c>
      <c r="O42" s="28"/>
      <c r="P42" s="28"/>
      <c r="Q42" s="28"/>
      <c r="R42" s="29"/>
      <c r="S42" s="23"/>
    </row>
    <row r="43" spans="1:27" ht="30" customHeight="1" thickBot="1" x14ac:dyDescent="0.3">
      <c r="C43" s="2"/>
      <c r="D43" s="9" t="s">
        <v>0</v>
      </c>
      <c r="E43" s="9" t="s">
        <v>1</v>
      </c>
      <c r="F43" s="9" t="s">
        <v>2</v>
      </c>
      <c r="G43" s="9" t="s">
        <v>3</v>
      </c>
      <c r="H43" s="26" t="s">
        <v>24</v>
      </c>
      <c r="I43" s="23"/>
      <c r="N43" s="9" t="s">
        <v>0</v>
      </c>
      <c r="O43" s="9" t="s">
        <v>1</v>
      </c>
      <c r="P43" s="9" t="s">
        <v>2</v>
      </c>
      <c r="Q43" s="9" t="s">
        <v>3</v>
      </c>
      <c r="R43" s="26" t="s">
        <v>24</v>
      </c>
      <c r="S43" s="23"/>
    </row>
    <row r="44" spans="1:27" ht="16.5" thickTop="1" thickBot="1" x14ac:dyDescent="0.3">
      <c r="C44" s="3" t="s">
        <v>12</v>
      </c>
      <c r="D44" s="19">
        <f t="shared" ref="D44:D59" si="0">D5</f>
        <v>5.5756795382468097E-2</v>
      </c>
      <c r="E44" s="19">
        <f t="shared" ref="E44:E59" si="1">I5</f>
        <v>0.12965380968184601</v>
      </c>
      <c r="F44" s="19">
        <f t="shared" ref="F44:F59" si="2">O5</f>
        <v>0.18135543032408599</v>
      </c>
      <c r="G44" s="19">
        <f t="shared" ref="G44:G59" si="3">AA5</f>
        <v>0.22568418846810201</v>
      </c>
      <c r="H44" s="19">
        <v>0.141549747939928</v>
      </c>
      <c r="I44" s="23"/>
      <c r="M44" s="3" t="s">
        <v>12</v>
      </c>
      <c r="N44" s="19">
        <f t="shared" ref="N44:N58" si="4">D23</f>
        <v>0.187929592988343</v>
      </c>
      <c r="O44" s="19">
        <f t="shared" ref="O44:O58" si="5">I23</f>
        <v>0.56855945873508695</v>
      </c>
      <c r="P44" s="19">
        <f t="shared" ref="P44:P58" si="6">O23</f>
        <v>0.80139018909743298</v>
      </c>
      <c r="Q44" s="19">
        <f t="shared" ref="Q44:Q58" si="7">AA23</f>
        <v>1.0821448658012101</v>
      </c>
      <c r="R44" s="13">
        <v>0.55305408242223197</v>
      </c>
      <c r="S44" s="23"/>
    </row>
    <row r="45" spans="1:27" ht="15.75" thickTop="1" x14ac:dyDescent="0.25">
      <c r="C45" s="10" t="s">
        <v>4</v>
      </c>
      <c r="D45" s="4">
        <f t="shared" si="0"/>
        <v>9.3116874599783503E-2</v>
      </c>
      <c r="E45" s="4">
        <f t="shared" si="1"/>
        <v>0.160283401926539</v>
      </c>
      <c r="F45" s="4">
        <f t="shared" si="2"/>
        <v>0.15521734876482399</v>
      </c>
      <c r="G45" s="4">
        <f t="shared" si="3"/>
        <v>0.181693840740795</v>
      </c>
      <c r="H45" s="27">
        <v>0.13052677874886501</v>
      </c>
      <c r="I45" s="23"/>
      <c r="M45" s="10" t="s">
        <v>4</v>
      </c>
      <c r="N45" s="4">
        <f t="shared" si="4"/>
        <v>0.21291930531440501</v>
      </c>
      <c r="O45" s="4">
        <f t="shared" si="5"/>
        <v>0.49595267950309602</v>
      </c>
      <c r="P45" s="4">
        <f t="shared" si="6"/>
        <v>0.52570243730803301</v>
      </c>
      <c r="Q45" s="4">
        <f t="shared" si="7"/>
        <v>0.58506533976198605</v>
      </c>
      <c r="R45" s="27">
        <v>0.35414883677732301</v>
      </c>
      <c r="S45" s="23"/>
    </row>
    <row r="46" spans="1:27" x14ac:dyDescent="0.25">
      <c r="C46" s="10" t="s">
        <v>5</v>
      </c>
      <c r="D46" s="4">
        <f t="shared" si="0"/>
        <v>8.9429983168139798E-2</v>
      </c>
      <c r="E46" s="4">
        <f t="shared" si="1"/>
        <v>0.21045884657970201</v>
      </c>
      <c r="F46" s="4">
        <f t="shared" si="2"/>
        <v>0.22347400462054501</v>
      </c>
      <c r="G46" s="4">
        <f t="shared" si="3"/>
        <v>0.24400214395691899</v>
      </c>
      <c r="H46" s="27">
        <v>0.181793197988359</v>
      </c>
      <c r="I46" s="23"/>
      <c r="M46" s="10" t="s">
        <v>5</v>
      </c>
      <c r="N46" s="4">
        <f t="shared" si="4"/>
        <v>0.19034723164858999</v>
      </c>
      <c r="O46" s="4">
        <f t="shared" si="5"/>
        <v>0.46670777624798698</v>
      </c>
      <c r="P46" s="4">
        <f t="shared" si="6"/>
        <v>0.580738991079641</v>
      </c>
      <c r="Q46" s="4">
        <f t="shared" si="7"/>
        <v>0.76720608054665995</v>
      </c>
      <c r="R46" s="27">
        <v>0.39762886893218202</v>
      </c>
      <c r="S46" s="23"/>
    </row>
    <row r="47" spans="1:27" x14ac:dyDescent="0.25">
      <c r="C47" s="10" t="s">
        <v>6</v>
      </c>
      <c r="D47" s="4">
        <f t="shared" si="0"/>
        <v>8.4225835004662603E-2</v>
      </c>
      <c r="E47" s="4">
        <f t="shared" si="1"/>
        <v>0.205976461979061</v>
      </c>
      <c r="F47" s="4">
        <f t="shared" si="2"/>
        <v>0.25381397882239298</v>
      </c>
      <c r="G47" s="4">
        <f t="shared" si="3"/>
        <v>0.28785840955473802</v>
      </c>
      <c r="H47" s="27">
        <v>0.20092207008271301</v>
      </c>
      <c r="I47" s="23"/>
      <c r="M47" s="10" t="s">
        <v>6</v>
      </c>
      <c r="N47" s="4">
        <f t="shared" si="4"/>
        <v>0.18464676252343201</v>
      </c>
      <c r="O47" s="4">
        <f t="shared" si="5"/>
        <v>0.480125602333621</v>
      </c>
      <c r="P47" s="4">
        <f t="shared" si="6"/>
        <v>0.60322392024076099</v>
      </c>
      <c r="Q47" s="4">
        <f t="shared" si="7"/>
        <v>0.84837511215140504</v>
      </c>
      <c r="R47" s="27">
        <v>0.42466309866028201</v>
      </c>
      <c r="S47" s="23"/>
    </row>
    <row r="48" spans="1:27" x14ac:dyDescent="0.25">
      <c r="C48" s="10" t="s">
        <v>7</v>
      </c>
      <c r="D48" s="4">
        <f t="shared" si="0"/>
        <v>6.0142359513744401E-2</v>
      </c>
      <c r="E48" s="4">
        <f t="shared" si="1"/>
        <v>0.168144349565752</v>
      </c>
      <c r="F48" s="4">
        <f t="shared" si="2"/>
        <v>0.208611414676557</v>
      </c>
      <c r="G48" s="4">
        <f t="shared" si="3"/>
        <v>0.25349611396271399</v>
      </c>
      <c r="H48" s="27">
        <v>0.164702217552116</v>
      </c>
      <c r="I48" s="23"/>
      <c r="M48" s="10" t="s">
        <v>7</v>
      </c>
      <c r="N48" s="4">
        <f t="shared" si="4"/>
        <v>0.159197773064015</v>
      </c>
      <c r="O48" s="4">
        <f t="shared" si="5"/>
        <v>0.47357724816251501</v>
      </c>
      <c r="P48" s="4">
        <f t="shared" si="6"/>
        <v>0.60045934932591805</v>
      </c>
      <c r="Q48" s="4">
        <f t="shared" si="7"/>
        <v>0.83857114454933401</v>
      </c>
      <c r="R48" s="27">
        <v>0.407508398945235</v>
      </c>
      <c r="S48" s="23"/>
    </row>
    <row r="49" spans="3:20" x14ac:dyDescent="0.25">
      <c r="C49" s="10" t="s">
        <v>8</v>
      </c>
      <c r="D49" s="4">
        <f t="shared" si="0"/>
        <v>5.8815682584996497E-2</v>
      </c>
      <c r="E49" s="4">
        <f t="shared" si="1"/>
        <v>0.16451818504840601</v>
      </c>
      <c r="F49" s="4">
        <f t="shared" si="2"/>
        <v>0.19229392661420899</v>
      </c>
      <c r="G49" s="4">
        <f t="shared" si="3"/>
        <v>0.22985102865075299</v>
      </c>
      <c r="H49" s="27">
        <v>0.153032499826524</v>
      </c>
      <c r="I49" s="23"/>
      <c r="M49" s="10" t="s">
        <v>8</v>
      </c>
      <c r="N49" s="4">
        <f t="shared" si="4"/>
        <v>0.17291109433974799</v>
      </c>
      <c r="O49" s="4">
        <f t="shared" si="5"/>
        <v>0.50140210498415705</v>
      </c>
      <c r="P49" s="4">
        <f t="shared" si="6"/>
        <v>0.62569379921254198</v>
      </c>
      <c r="Q49" s="4">
        <f t="shared" si="7"/>
        <v>0.86314388070772496</v>
      </c>
      <c r="R49" s="27">
        <v>0.43365743912633498</v>
      </c>
      <c r="S49" s="23"/>
    </row>
    <row r="50" spans="3:20" x14ac:dyDescent="0.25">
      <c r="C50" s="10" t="s">
        <v>9</v>
      </c>
      <c r="D50" s="4">
        <f t="shared" si="0"/>
        <v>4.9340434017061903E-2</v>
      </c>
      <c r="E50" s="4">
        <f t="shared" si="1"/>
        <v>0.14457713477992501</v>
      </c>
      <c r="F50" s="4">
        <f t="shared" si="2"/>
        <v>0.16522351313036701</v>
      </c>
      <c r="G50" s="4">
        <f t="shared" si="3"/>
        <v>0.20606401471018901</v>
      </c>
      <c r="H50" s="27">
        <v>0.13319097553467199</v>
      </c>
      <c r="I50" s="23"/>
      <c r="M50" s="10" t="s">
        <v>9</v>
      </c>
      <c r="N50" s="4">
        <f t="shared" si="4"/>
        <v>0.194175906811801</v>
      </c>
      <c r="O50" s="4">
        <f t="shared" si="5"/>
        <v>0.57498882164852605</v>
      </c>
      <c r="P50" s="4">
        <f t="shared" si="6"/>
        <v>0.72446945670953</v>
      </c>
      <c r="Q50" s="4">
        <f t="shared" si="7"/>
        <v>0.98365476540660501</v>
      </c>
      <c r="R50" s="27">
        <v>0.51246524388334203</v>
      </c>
      <c r="S50" s="23"/>
    </row>
    <row r="51" spans="3:20" ht="15.75" thickBot="1" x14ac:dyDescent="0.3">
      <c r="C51" s="9" t="s">
        <v>10</v>
      </c>
      <c r="D51" s="13">
        <f t="shared" si="0"/>
        <v>5.1091687735468398E-2</v>
      </c>
      <c r="E51" s="13">
        <f t="shared" si="1"/>
        <v>0.14055543515244201</v>
      </c>
      <c r="F51" s="13">
        <f t="shared" si="2"/>
        <v>0.16487101744287599</v>
      </c>
      <c r="G51" s="13">
        <f t="shared" si="3"/>
        <v>0.20310843812201201</v>
      </c>
      <c r="H51" s="13">
        <v>0.13432716436587699</v>
      </c>
      <c r="I51" s="23"/>
      <c r="M51" s="9" t="s">
        <v>10</v>
      </c>
      <c r="N51" s="13">
        <f t="shared" si="4"/>
        <v>0.177856960550103</v>
      </c>
      <c r="O51" s="13">
        <f t="shared" si="5"/>
        <v>0.57406717254341999</v>
      </c>
      <c r="P51" s="13">
        <f t="shared" si="6"/>
        <v>0.73841951766731295</v>
      </c>
      <c r="Q51" s="13">
        <f t="shared" si="7"/>
        <v>1.0058284636017101</v>
      </c>
      <c r="R51" s="13">
        <v>0.52241672209331302</v>
      </c>
      <c r="S51" s="23"/>
    </row>
    <row r="52" spans="3:20" ht="15.75" thickTop="1" x14ac:dyDescent="0.25">
      <c r="C52" s="25" t="s">
        <v>20</v>
      </c>
      <c r="D52" s="4">
        <f t="shared" si="0"/>
        <v>5.3236620116869103E-2</v>
      </c>
      <c r="E52" s="4">
        <f t="shared" si="1"/>
        <v>0.14489291610065599</v>
      </c>
      <c r="F52" s="4">
        <f t="shared" si="2"/>
        <v>0.16886911609720201</v>
      </c>
      <c r="G52" s="4">
        <f t="shared" si="3"/>
        <v>0.204444786189901</v>
      </c>
      <c r="H52" s="27">
        <v>0.138283211227263</v>
      </c>
      <c r="I52" s="23"/>
      <c r="M52" s="25" t="s">
        <v>20</v>
      </c>
      <c r="N52" s="4">
        <f t="shared" si="4"/>
        <v>0.18068572538538299</v>
      </c>
      <c r="O52" s="4">
        <f t="shared" si="5"/>
        <v>0.59500427360180697</v>
      </c>
      <c r="P52" s="4">
        <f t="shared" si="6"/>
        <v>0.76038702700176097</v>
      </c>
      <c r="Q52" s="4">
        <f t="shared" si="7"/>
        <v>1.02688649613218</v>
      </c>
      <c r="R52" s="27">
        <v>0.53848101794115</v>
      </c>
      <c r="S52" s="23"/>
    </row>
    <row r="53" spans="3:20" x14ac:dyDescent="0.25">
      <c r="C53" s="25" t="s">
        <v>21</v>
      </c>
      <c r="D53" s="4">
        <f t="shared" si="0"/>
        <v>5.2990253191698498E-2</v>
      </c>
      <c r="E53" s="4">
        <f t="shared" si="1"/>
        <v>0.143466506077185</v>
      </c>
      <c r="F53" s="4">
        <f t="shared" si="2"/>
        <v>0.166413006165952</v>
      </c>
      <c r="G53" s="4">
        <f t="shared" si="3"/>
        <v>0.20315341969309</v>
      </c>
      <c r="H53" s="27">
        <v>0.13702954692640201</v>
      </c>
      <c r="I53" s="23"/>
      <c r="M53" s="25" t="s">
        <v>21</v>
      </c>
      <c r="N53" s="4">
        <f t="shared" si="4"/>
        <v>0.17561295971318899</v>
      </c>
      <c r="O53" s="4">
        <f t="shared" si="5"/>
        <v>0.57635442324694397</v>
      </c>
      <c r="P53" s="4">
        <f t="shared" si="6"/>
        <v>0.73289690512084205</v>
      </c>
      <c r="Q53" s="4">
        <f t="shared" si="7"/>
        <v>0.99832834312200702</v>
      </c>
      <c r="R53" s="27">
        <v>0.52062732665598699</v>
      </c>
      <c r="S53" s="23"/>
    </row>
    <row r="54" spans="3:20" ht="15.75" thickBot="1" x14ac:dyDescent="0.3">
      <c r="C54" s="9" t="s">
        <v>22</v>
      </c>
      <c r="D54" s="13">
        <f t="shared" si="0"/>
        <v>4.7590467189780397E-2</v>
      </c>
      <c r="E54" s="13">
        <f t="shared" si="1"/>
        <v>0.13120573464978899</v>
      </c>
      <c r="F54" s="13">
        <f t="shared" si="2"/>
        <v>0.153996934544465</v>
      </c>
      <c r="G54" s="13">
        <f t="shared" si="3"/>
        <v>0.19604244271694199</v>
      </c>
      <c r="H54" s="13">
        <v>0.12873270693893099</v>
      </c>
      <c r="I54" s="23"/>
      <c r="M54" s="9" t="s">
        <v>22</v>
      </c>
      <c r="N54" s="13">
        <f t="shared" si="4"/>
        <v>0.158775192703038</v>
      </c>
      <c r="O54" s="13">
        <f t="shared" si="5"/>
        <v>0.51057047363260499</v>
      </c>
      <c r="P54" s="13">
        <f t="shared" si="6"/>
        <v>0.63924802993961305</v>
      </c>
      <c r="Q54" s="13">
        <f t="shared" si="7"/>
        <v>0.90128878134605095</v>
      </c>
      <c r="R54" s="13">
        <v>0.45197167158324397</v>
      </c>
      <c r="S54" s="23"/>
    </row>
    <row r="55" spans="3:20" ht="16.5" thickTop="1" thickBot="1" x14ac:dyDescent="0.3">
      <c r="C55" s="3" t="s">
        <v>15</v>
      </c>
      <c r="D55" s="19">
        <f t="shared" si="0"/>
        <v>5.7910008102164401E-2</v>
      </c>
      <c r="E55" s="19">
        <f t="shared" si="1"/>
        <v>6.2736527496820696E-2</v>
      </c>
      <c r="F55" s="19">
        <f t="shared" si="2"/>
        <v>7.0998335330892906E-2</v>
      </c>
      <c r="G55" s="19">
        <f t="shared" si="3"/>
        <v>8.4307438406463098E-2</v>
      </c>
      <c r="H55" s="19">
        <v>6.15323370595173E-2</v>
      </c>
      <c r="I55" s="23"/>
      <c r="M55" s="3" t="s">
        <v>15</v>
      </c>
      <c r="N55" s="19">
        <f t="shared" si="4"/>
        <v>0.16744289785228</v>
      </c>
      <c r="O55" s="19">
        <f t="shared" si="5"/>
        <v>0.18391567041672499</v>
      </c>
      <c r="P55" s="19">
        <f t="shared" si="6"/>
        <v>0.19376240675074</v>
      </c>
      <c r="Q55" s="19">
        <f t="shared" si="7"/>
        <v>0.20416500900154499</v>
      </c>
      <c r="R55" s="19">
        <v>8.2018191703228396E-2</v>
      </c>
      <c r="S55" s="23"/>
    </row>
    <row r="56" spans="3:20" ht="16.5" thickTop="1" thickBot="1" x14ac:dyDescent="0.3">
      <c r="C56" s="9" t="s">
        <v>11</v>
      </c>
      <c r="D56" s="13">
        <f t="shared" si="0"/>
        <v>6.2224668814624198E-2</v>
      </c>
      <c r="E56" s="13">
        <f t="shared" si="1"/>
        <v>0.10884773320765299</v>
      </c>
      <c r="F56" s="13">
        <f t="shared" si="2"/>
        <v>0.12604594538264099</v>
      </c>
      <c r="G56" s="13">
        <f t="shared" si="3"/>
        <v>0.12264316909237</v>
      </c>
      <c r="H56" s="13">
        <v>7.5236645192523793E-2</v>
      </c>
      <c r="I56" s="23"/>
      <c r="J56" s="12"/>
      <c r="K56" s="1"/>
      <c r="L56" s="1"/>
      <c r="M56" s="9" t="s">
        <v>11</v>
      </c>
      <c r="N56" s="13">
        <f t="shared" si="4"/>
        <v>0.14125522948864999</v>
      </c>
      <c r="O56" s="13">
        <f t="shared" si="5"/>
        <v>0.28137872018071902</v>
      </c>
      <c r="P56" s="13">
        <f t="shared" si="6"/>
        <v>0.29207614851283098</v>
      </c>
      <c r="Q56" s="13">
        <f t="shared" si="7"/>
        <v>0.36173156815019097</v>
      </c>
      <c r="R56" s="13">
        <v>0.13064043355034599</v>
      </c>
      <c r="S56" s="23"/>
      <c r="T56" s="14"/>
    </row>
    <row r="57" spans="3:20" ht="16.5" thickTop="1" thickBot="1" x14ac:dyDescent="0.3">
      <c r="C57" s="9" t="s">
        <v>18</v>
      </c>
      <c r="D57" s="13">
        <f t="shared" si="0"/>
        <v>3.6878682274588903E-2</v>
      </c>
      <c r="E57" s="13">
        <f t="shared" si="1"/>
        <v>8.4398662445417993E-2</v>
      </c>
      <c r="F57" s="13">
        <f t="shared" si="2"/>
        <v>0.125169918095383</v>
      </c>
      <c r="G57" s="13">
        <f t="shared" si="3"/>
        <v>0.199968815867584</v>
      </c>
      <c r="H57" s="13">
        <v>9.1013248586221895E-2</v>
      </c>
      <c r="I57" s="23"/>
      <c r="J57" s="12"/>
      <c r="K57" s="1"/>
      <c r="L57" s="1"/>
      <c r="M57" s="9" t="s">
        <v>18</v>
      </c>
      <c r="N57" s="13">
        <f t="shared" si="4"/>
        <v>0.104002740183187</v>
      </c>
      <c r="O57" s="13">
        <f t="shared" si="5"/>
        <v>0.336026255969327</v>
      </c>
      <c r="P57" s="13">
        <f t="shared" si="6"/>
        <v>0.620649393489484</v>
      </c>
      <c r="Q57" s="13">
        <f t="shared" si="7"/>
        <v>1.24425819252528</v>
      </c>
      <c r="R57" s="13">
        <v>0.40231598397851598</v>
      </c>
      <c r="S57" s="16"/>
      <c r="T57" s="14"/>
    </row>
    <row r="58" spans="3:20" ht="16.5" thickTop="1" thickBot="1" x14ac:dyDescent="0.3">
      <c r="C58" s="3" t="s">
        <v>23</v>
      </c>
      <c r="D58" s="19">
        <f t="shared" si="0"/>
        <v>8.8199688809591503E-2</v>
      </c>
      <c r="E58" s="19">
        <f t="shared" si="1"/>
        <v>0.118938228548271</v>
      </c>
      <c r="F58" s="19">
        <f t="shared" si="2"/>
        <v>0.122993319453577</v>
      </c>
      <c r="G58" s="19">
        <f t="shared" si="3"/>
        <v>0.13506984191384899</v>
      </c>
      <c r="H58" s="19">
        <v>6.3007356010540805E-2</v>
      </c>
      <c r="I58" s="22"/>
      <c r="J58" s="12"/>
      <c r="K58" s="1"/>
      <c r="L58" s="1"/>
      <c r="M58" s="3" t="s">
        <v>23</v>
      </c>
      <c r="N58" s="19">
        <f t="shared" si="4"/>
        <v>0.23472109340911099</v>
      </c>
      <c r="O58" s="19">
        <f t="shared" si="5"/>
        <v>0.28663210870480599</v>
      </c>
      <c r="P58" s="19">
        <f t="shared" si="6"/>
        <v>0.30487004125519501</v>
      </c>
      <c r="Q58" s="19">
        <f t="shared" si="7"/>
        <v>0.306593140594969</v>
      </c>
      <c r="R58" s="19">
        <v>6.4122145345339193E-2</v>
      </c>
      <c r="S58" s="16"/>
      <c r="T58" s="6"/>
    </row>
    <row r="59" spans="3:20" ht="15.75" thickTop="1" x14ac:dyDescent="0.25">
      <c r="C59" s="20" t="s">
        <v>19</v>
      </c>
      <c r="D59" s="4">
        <f t="shared" si="0"/>
        <v>0.101473719289633</v>
      </c>
      <c r="E59" s="4">
        <f t="shared" si="1"/>
        <v>0.10808426246868499</v>
      </c>
      <c r="F59" s="4">
        <f t="shared" si="2"/>
        <v>0.114745313943102</v>
      </c>
      <c r="G59" s="4">
        <f t="shared" si="3"/>
        <v>0.13801343002184099</v>
      </c>
      <c r="H59" s="4">
        <v>9.0175067247948507E-2</v>
      </c>
      <c r="I59" s="22"/>
      <c r="M59" s="20" t="s">
        <v>19</v>
      </c>
      <c r="N59" s="4">
        <f t="shared" ref="N59" si="8">D38</f>
        <v>0.214311773465231</v>
      </c>
      <c r="O59" s="4">
        <f t="shared" ref="O59" si="9">I38</f>
        <v>0.221274658101729</v>
      </c>
      <c r="P59" s="4">
        <f t="shared" ref="P59" si="10">O38</f>
        <v>0.227131413813498</v>
      </c>
      <c r="Q59" s="4">
        <f t="shared" ref="Q59" si="11">AA38</f>
        <v>0.28888398964897899</v>
      </c>
      <c r="R59" s="4">
        <v>0.104712581797076</v>
      </c>
      <c r="S59" s="16"/>
      <c r="T59" s="6"/>
    </row>
    <row r="60" spans="3:20" x14ac:dyDescent="0.25">
      <c r="C60" s="5"/>
      <c r="I60" s="22"/>
      <c r="S60" s="16"/>
    </row>
    <row r="61" spans="3:20" x14ac:dyDescent="0.25">
      <c r="C61" s="5"/>
      <c r="D61" s="24"/>
      <c r="E61" s="24"/>
      <c r="F61" s="24"/>
      <c r="G61" s="24"/>
      <c r="H61" s="24"/>
      <c r="I61" s="16"/>
      <c r="N61" s="24"/>
      <c r="O61" s="24"/>
      <c r="P61" s="24"/>
      <c r="Q61" s="24"/>
      <c r="R61" s="24"/>
    </row>
    <row r="62" spans="3:20" x14ac:dyDescent="0.25">
      <c r="C62" s="5"/>
      <c r="D62" s="24"/>
      <c r="E62" s="24"/>
      <c r="F62" s="24"/>
      <c r="G62" s="24"/>
      <c r="H62" s="24"/>
      <c r="N62" s="24"/>
      <c r="O62" s="24"/>
      <c r="P62" s="24"/>
      <c r="Q62" s="24"/>
      <c r="R62" s="24"/>
    </row>
    <row r="63" spans="3:20" x14ac:dyDescent="0.25">
      <c r="C63" s="5"/>
      <c r="D63" s="24"/>
      <c r="E63" s="24"/>
      <c r="F63" s="24"/>
      <c r="G63" s="24"/>
      <c r="H63" s="24"/>
      <c r="J63" s="18"/>
      <c r="K63" s="18"/>
      <c r="L63" s="18"/>
      <c r="M63" s="18"/>
      <c r="N63" s="24"/>
      <c r="O63" s="24"/>
      <c r="P63" s="24"/>
      <c r="Q63" s="24"/>
      <c r="R63" s="24"/>
    </row>
    <row r="64" spans="3:20" x14ac:dyDescent="0.25">
      <c r="D64" s="24"/>
      <c r="E64" s="24"/>
      <c r="F64" s="24"/>
      <c r="G64" s="24"/>
      <c r="H64" s="24"/>
      <c r="N64" s="24"/>
      <c r="O64" s="24"/>
      <c r="P64" s="24"/>
      <c r="Q64" s="24"/>
      <c r="R64" s="24"/>
    </row>
    <row r="65" spans="4:18" x14ac:dyDescent="0.25">
      <c r="D65" s="24"/>
      <c r="E65" s="24"/>
      <c r="F65" s="24"/>
      <c r="G65" s="24"/>
      <c r="H65" s="24"/>
      <c r="J65" s="15"/>
      <c r="K65" s="15"/>
      <c r="L65" s="15"/>
      <c r="M65" s="15"/>
      <c r="N65" s="24"/>
      <c r="O65" s="24"/>
      <c r="P65" s="24"/>
      <c r="Q65" s="24"/>
      <c r="R65" s="24"/>
    </row>
    <row r="66" spans="4:18" x14ac:dyDescent="0.25">
      <c r="D66" s="24"/>
      <c r="E66" s="24"/>
      <c r="F66" s="24"/>
      <c r="G66" s="24"/>
      <c r="H66" s="24"/>
      <c r="N66" s="24"/>
      <c r="O66" s="24"/>
      <c r="P66" s="24"/>
      <c r="Q66" s="24"/>
      <c r="R66" s="24"/>
    </row>
    <row r="67" spans="4:18" x14ac:dyDescent="0.25">
      <c r="D67" s="24"/>
      <c r="E67" s="24"/>
      <c r="F67" s="24"/>
      <c r="G67" s="24"/>
      <c r="H67" s="24"/>
      <c r="N67" s="24"/>
      <c r="O67" s="24"/>
      <c r="P67" s="24"/>
      <c r="Q67" s="24"/>
      <c r="R67" s="24"/>
    </row>
    <row r="68" spans="4:18" x14ac:dyDescent="0.25">
      <c r="D68" s="24"/>
      <c r="E68" s="24"/>
      <c r="F68" s="24"/>
      <c r="G68" s="24"/>
      <c r="H68" s="24"/>
      <c r="N68" s="24"/>
      <c r="O68" s="24"/>
      <c r="P68" s="24"/>
      <c r="Q68" s="24"/>
      <c r="R68" s="24"/>
    </row>
    <row r="69" spans="4:18" x14ac:dyDescent="0.25">
      <c r="D69" s="24"/>
      <c r="E69" s="24"/>
      <c r="F69" s="24"/>
      <c r="G69" s="24"/>
      <c r="H69" s="24"/>
      <c r="N69" s="24"/>
      <c r="O69" s="24"/>
      <c r="P69" s="24"/>
      <c r="Q69" s="24"/>
      <c r="R69" s="24"/>
    </row>
    <row r="70" spans="4:18" x14ac:dyDescent="0.25">
      <c r="D70" s="24"/>
      <c r="E70" s="24"/>
      <c r="F70" s="24"/>
      <c r="G70" s="24"/>
      <c r="H70" s="24"/>
      <c r="N70" s="24"/>
      <c r="O70" s="24"/>
      <c r="P70" s="24"/>
      <c r="Q70" s="24"/>
      <c r="R70" s="24"/>
    </row>
    <row r="71" spans="4:18" x14ac:dyDescent="0.25">
      <c r="D71" s="24"/>
      <c r="E71" s="24"/>
      <c r="F71" s="24"/>
      <c r="G71" s="24"/>
      <c r="H71" s="24"/>
      <c r="N71" s="24"/>
      <c r="O71" s="24"/>
      <c r="P71" s="24"/>
      <c r="Q71" s="24"/>
      <c r="R71" s="24"/>
    </row>
    <row r="72" spans="4:18" x14ac:dyDescent="0.25">
      <c r="D72" s="24"/>
      <c r="E72" s="24"/>
      <c r="F72" s="24"/>
      <c r="G72" s="24"/>
      <c r="H72" s="24"/>
      <c r="N72" s="24"/>
      <c r="O72" s="24"/>
      <c r="P72" s="24"/>
      <c r="Q72" s="24"/>
      <c r="R72" s="24"/>
    </row>
    <row r="73" spans="4:18" x14ac:dyDescent="0.25">
      <c r="D73" s="24"/>
      <c r="E73" s="24"/>
      <c r="F73" s="24"/>
      <c r="G73" s="24"/>
      <c r="H73" s="24"/>
      <c r="N73" s="24"/>
      <c r="O73" s="24"/>
      <c r="P73" s="24"/>
      <c r="Q73" s="24"/>
      <c r="R73" s="24"/>
    </row>
    <row r="74" spans="4:18" x14ac:dyDescent="0.25">
      <c r="D74" s="24"/>
      <c r="E74" s="24"/>
      <c r="F74" s="24"/>
      <c r="G74" s="24"/>
      <c r="H74" s="24"/>
      <c r="N74" s="24"/>
      <c r="O74" s="24"/>
      <c r="P74" s="24"/>
      <c r="Q74" s="24"/>
      <c r="R74" s="24"/>
    </row>
    <row r="75" spans="4:18" x14ac:dyDescent="0.25">
      <c r="D75" s="24"/>
      <c r="E75" s="24"/>
      <c r="F75" s="24"/>
      <c r="G75" s="24"/>
      <c r="H75" s="24"/>
      <c r="N75" s="24"/>
      <c r="O75" s="24"/>
      <c r="P75" s="24"/>
      <c r="Q75" s="24"/>
      <c r="R75" s="24"/>
    </row>
    <row r="76" spans="4:18" x14ac:dyDescent="0.25">
      <c r="D76" s="24"/>
      <c r="E76" s="24"/>
      <c r="F76" s="24"/>
      <c r="G76" s="24"/>
      <c r="H76" s="24"/>
      <c r="N76" s="24"/>
      <c r="O76" s="24"/>
      <c r="P76" s="24"/>
      <c r="Q76" s="24"/>
      <c r="R76" s="24"/>
    </row>
    <row r="77" spans="4:18" x14ac:dyDescent="0.25">
      <c r="D77" s="22"/>
      <c r="E77" s="22"/>
      <c r="F77" s="22"/>
      <c r="G77" s="22"/>
      <c r="H77" s="22"/>
      <c r="N77" s="17"/>
      <c r="O77" s="17"/>
      <c r="P77" s="17"/>
      <c r="Q77" s="17"/>
      <c r="R77" s="17"/>
    </row>
    <row r="78" spans="4:18" x14ac:dyDescent="0.25">
      <c r="D78" s="22"/>
      <c r="E78" s="22"/>
      <c r="F78" s="22"/>
      <c r="G78" s="22"/>
      <c r="H78" s="22"/>
      <c r="N78" s="17"/>
      <c r="O78" s="17"/>
      <c r="P78" s="17"/>
      <c r="Q78" s="17"/>
      <c r="R78" s="17"/>
    </row>
    <row r="79" spans="4:18" x14ac:dyDescent="0.25">
      <c r="D79" s="22"/>
      <c r="E79" s="22"/>
      <c r="F79" s="22"/>
      <c r="G79" s="22"/>
      <c r="H79" s="22"/>
      <c r="N79" s="17"/>
      <c r="O79" s="17"/>
      <c r="P79" s="17"/>
      <c r="Q79" s="17"/>
      <c r="R79" s="17"/>
    </row>
    <row r="80" spans="4:18" x14ac:dyDescent="0.25">
      <c r="D80" s="15"/>
      <c r="E80" s="15"/>
      <c r="F80" s="15"/>
      <c r="G80" s="15"/>
      <c r="H80" s="15"/>
      <c r="N80" s="17"/>
      <c r="O80" s="17"/>
      <c r="P80" s="17"/>
      <c r="Q80" s="17"/>
      <c r="R80" s="17"/>
    </row>
  </sheetData>
  <mergeCells count="6">
    <mergeCell ref="N42:R42"/>
    <mergeCell ref="D3:G3"/>
    <mergeCell ref="H3:K3"/>
    <mergeCell ref="B5:B16"/>
    <mergeCell ref="B23:B33"/>
    <mergeCell ref="D42:H4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bias_BenchmarkModels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 de Castro Brigatto</dc:creator>
  <cp:lastModifiedBy>Arthu de Castro Brigatto</cp:lastModifiedBy>
  <cp:lastPrinted>2023-08-21T18:52:54Z</cp:lastPrinted>
  <dcterms:created xsi:type="dcterms:W3CDTF">2022-10-24T19:35:38Z</dcterms:created>
  <dcterms:modified xsi:type="dcterms:W3CDTF">2024-05-13T15:56:22Z</dcterms:modified>
</cp:coreProperties>
</file>